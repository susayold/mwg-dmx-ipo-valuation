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sheetId="2" state="visible" r:id="rId2"/>
    <sheet xmlns:r="http://schemas.openxmlformats.org/officeDocument/2006/relationships" name="IPO_Bridge" sheetId="3" state="visible" r:id="rId3"/>
    <sheet xmlns:r="http://schemas.openxmlformats.org/officeDocument/2006/relationships" name="Q1_Actuals" sheetId="4" state="visible" r:id="rId4"/>
    <sheet xmlns:r="http://schemas.openxmlformats.org/officeDocument/2006/relationships" name="3Y_Statements" sheetId="5" state="visible" r:id="rId5"/>
    <sheet xmlns:r="http://schemas.openxmlformats.org/officeDocument/2006/relationships" name="3S_Bridges" sheetId="6" state="visible" r:id="rId6"/>
    <sheet xmlns:r="http://schemas.openxmlformats.org/officeDocument/2006/relationships" name="WC_QoE" sheetId="7" state="visible" r:id="rId7"/>
    <sheet xmlns:r="http://schemas.openxmlformats.org/officeDocument/2006/relationships" name="Mgmt_Forecast" sheetId="8" state="visible" r:id="rId8"/>
    <sheet xmlns:r="http://schemas.openxmlformats.org/officeDocument/2006/relationships" name="Assumptions" sheetId="9" state="visible" r:id="rId9"/>
    <sheet xmlns:r="http://schemas.openxmlformats.org/officeDocument/2006/relationships" name="DMX_Valuation" sheetId="10" state="visible" r:id="rId10"/>
    <sheet xmlns:r="http://schemas.openxmlformats.org/officeDocument/2006/relationships" name="MWG_SOTP" sheetId="11" state="visible" r:id="rId11"/>
    <sheet xmlns:r="http://schemas.openxmlformats.org/officeDocument/2006/relationships" name="Scenarios" sheetId="12" state="visible" r:id="rId12"/>
    <sheet xmlns:r="http://schemas.openxmlformats.org/officeDocument/2006/relationships" name="Checks" sheetId="13" state="visible" r:id="rId13"/>
  </sheets>
  <definedNames>
    <definedName name="_xlnm.Print_Area" localSheetId="0">'Cover'!$B$2:$J$44</definedName>
    <definedName name="_xlnm._FilterDatabase" localSheetId="3" hidden="1">'Q1_Actuals'!$A$4:$J$53</definedName>
    <definedName name="_xlnm._FilterDatabase" localSheetId="8" hidden="1">'Assumptions'!$A$10:$K$41</definedName>
    <definedName name="_xlnm._FilterDatabase" localSheetId="12" hidden="1">'Checks'!$A$4:$H$24</definedName>
  </definedNames>
  <calcPr calcId="191029" calcMode="auto" fullCalcOnLoad="1" forceFullCalc="1"/>
</workbook>
</file>

<file path=xl/styles.xml><?xml version="1.0" encoding="utf-8"?>
<styleSheet xmlns="http://schemas.openxmlformats.org/spreadsheetml/2006/main">
  <numFmts count="10">
    <numFmt numFmtId="164" formatCode="yyyy-mm-dd"/>
    <numFmt numFmtId="165" formatCode="dd-mmm-yyyy"/>
    <numFmt numFmtId="166" formatCode="yyyy-mm-dd h:mm:ss"/>
    <numFmt numFmtId="167" formatCode="#,##0;[Red](#,##0);-"/>
    <numFmt numFmtId="168" formatCode="#,##0.0000"/>
    <numFmt numFmtId="169" formatCode="#,##0.00;[Red](#,##0.00);-"/>
    <numFmt numFmtId="170" formatCode="#,##0.0;[Red](#,##0.0);-"/>
    <numFmt numFmtId="171" formatCode="0.0%"/>
    <numFmt numFmtId="172" formatCode="0.0"/>
    <numFmt numFmtId="173" formatCode="0.0x"/>
  </numFmts>
  <fonts count="26">
    <font>
      <name val="Calibri"/>
      <family val="2"/>
      <color theme="1"/>
      <sz val="11"/>
      <scheme val="minor"/>
    </font>
    <font>
      <name val="Aptos Display"/>
      <b val="1"/>
      <color rgb="00FFFFFF"/>
      <sz val="27"/>
    </font>
    <font>
      <name val="Aptos"/>
      <i val="1"/>
      <color rgb="00D9EAF7"/>
      <sz val="13"/>
    </font>
    <font>
      <name val="Aptos"/>
      <b val="1"/>
      <color rgb="00FFFFFF"/>
      <sz val="10"/>
    </font>
    <font>
      <name val="Aptos"/>
      <b val="1"/>
      <color rgb="000B1F3A"/>
      <sz val="9"/>
    </font>
    <font>
      <name val="Aptos"/>
      <color rgb="00202124"/>
      <sz val="9"/>
    </font>
    <font>
      <name val="Aptos"/>
      <color rgb="00687078"/>
      <sz val="9"/>
    </font>
    <font>
      <name val="Aptos"/>
      <b val="1"/>
      <color rgb="00008000"/>
      <sz val="9"/>
    </font>
    <font>
      <name val="Aptos"/>
      <b val="1"/>
      <color rgb="00202124"/>
      <sz val="9"/>
    </font>
    <font>
      <name val="Aptos"/>
      <color rgb="00202124"/>
      <sz val="10"/>
    </font>
    <font>
      <name val="Aptos"/>
      <b val="1"/>
      <color rgb="00FFFFFF"/>
      <sz val="9"/>
    </font>
    <font>
      <name val="Calibri"/>
      <family val="2"/>
      <color theme="10"/>
      <sz val="12"/>
      <scheme val="minor"/>
    </font>
    <font>
      <name val="Aptos"/>
      <b val="1"/>
      <color rgb="000B1F3A"/>
      <sz val="10"/>
    </font>
    <font>
      <name val="Aptos Display"/>
      <b val="1"/>
      <color rgb="00FFFFFF"/>
      <sz val="18"/>
    </font>
    <font>
      <name val="Aptos"/>
      <i val="1"/>
      <color rgb="00D9EAF7"/>
      <sz val="10"/>
    </font>
    <font>
      <name val="Aptos"/>
      <i val="1"/>
      <color rgb="000B1F3A"/>
      <sz val="9"/>
    </font>
    <font>
      <name val="Aptos"/>
      <color rgb="000000FF"/>
      <sz val="9"/>
    </font>
    <font>
      <name val="Aptos"/>
      <b val="1"/>
      <sz val="9"/>
    </font>
    <font>
      <name val="Aptos"/>
      <b val="1"/>
      <color rgb="000B1F3A"/>
      <sz val="8"/>
    </font>
    <font>
      <name val="Aptos"/>
      <color rgb="00687078"/>
      <sz val="8"/>
    </font>
    <font>
      <name val="Aptos"/>
      <color rgb="000B1F3A"/>
      <sz val="8"/>
    </font>
    <font>
      <name val="Aptos"/>
      <color rgb="00008000"/>
      <sz val="9"/>
    </font>
    <font>
      <name val="Aptos"/>
      <b val="1"/>
      <color rgb="000000FF"/>
      <sz val="11"/>
    </font>
    <font>
      <name val="Aptos"/>
      <color rgb="000B1F3A"/>
      <sz val="9"/>
    </font>
    <font>
      <name val="Aptos"/>
      <b val="1"/>
      <color rgb="00C00000"/>
      <sz val="9"/>
    </font>
    <font>
      <name val="Aptos"/>
      <b val="1"/>
      <color rgb="00ED7D31"/>
      <sz val="9"/>
    </font>
  </fonts>
  <fills count="11">
    <fill>
      <patternFill/>
    </fill>
    <fill>
      <patternFill patternType="gray125"/>
    </fill>
    <fill>
      <patternFill patternType="solid">
        <fgColor rgb="000B1F3A"/>
      </patternFill>
    </fill>
    <fill>
      <patternFill patternType="solid">
        <fgColor rgb="0017365D"/>
      </patternFill>
    </fill>
    <fill>
      <patternFill patternType="solid">
        <fgColor rgb="00D9EAF7"/>
      </patternFill>
    </fill>
    <fill>
      <patternFill patternType="solid">
        <fgColor rgb="00FFF2CC"/>
      </patternFill>
    </fill>
    <fill>
      <patternFill patternType="solid">
        <fgColor rgb="00FFFFFF"/>
      </patternFill>
    </fill>
    <fill>
      <patternFill patternType="solid">
        <fgColor rgb="00F2F4F7"/>
      </patternFill>
    </fill>
    <fill>
      <patternFill patternType="solid">
        <fgColor rgb="0000A6A6"/>
      </patternFill>
    </fill>
    <fill>
      <patternFill patternType="solid">
        <fgColor rgb="00DDEBF7"/>
      </patternFill>
    </fill>
    <fill>
      <patternFill patternType="solid">
        <fgColor rgb="00E2F0D9"/>
      </patternFill>
    </fill>
  </fills>
  <borders count="8">
    <border>
      <left/>
      <right/>
      <top/>
      <bottom/>
      <diagonal/>
    </border>
    <border>
      <left style="thin">
        <color rgb="00D9DEE5"/>
      </left>
      <right style="thin">
        <color rgb="00D9DEE5"/>
      </right>
      <top style="thin">
        <color rgb="00D9DEE5"/>
      </top>
      <bottom style="thin">
        <color rgb="00D9DEE5"/>
      </bottom>
    </border>
    <border>
      <bottom style="thin">
        <color rgb="00D9DEE5"/>
      </bottom>
    </border>
    <border>
      <left style="medium">
        <color rgb="000B1F3A"/>
      </left>
      <right style="medium">
        <color rgb="000B1F3A"/>
      </right>
      <top style="medium">
        <color rgb="000B1F3A"/>
      </top>
      <bottom style="medium">
        <color rgb="000B1F3A"/>
      </bottom>
    </border>
    <border>
      <left/>
      <right/>
      <top style="thin">
        <color rgb="00D9DEE5"/>
      </top>
      <bottom/>
      <diagonal/>
    </border>
    <border>
      <left/>
      <right style="thin">
        <color rgb="00D9DEE5"/>
      </right>
      <top style="thin">
        <color rgb="00D9DEE5"/>
      </top>
      <bottom/>
      <diagonal/>
    </border>
    <border>
      <left/>
      <right/>
      <top style="thin">
        <color rgb="00D9DEE5"/>
      </top>
      <bottom style="thin">
        <color rgb="00D9DEE5"/>
      </bottom>
      <diagonal/>
    </border>
    <border>
      <left/>
      <right style="thin">
        <color rgb="00D9DEE5"/>
      </right>
      <top style="thin">
        <color rgb="00D9DEE5"/>
      </top>
      <bottom style="thin">
        <color rgb="00D9DEE5"/>
      </bottom>
      <diagonal/>
    </border>
  </borders>
  <cellStyleXfs count="2">
    <xf numFmtId="0" fontId="0" fillId="0" borderId="0"/>
    <xf numFmtId="0" fontId="11" fillId="0" borderId="0"/>
  </cellStyleXfs>
  <cellXfs count="171">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0" fillId="3" borderId="0" pivotButton="0" quotePrefix="0" xfId="0"/>
    <xf numFmtId="0" fontId="3" fillId="3" borderId="0" applyAlignment="1" pivotButton="0" quotePrefix="0" xfId="0">
      <alignment vertical="center"/>
    </xf>
    <xf numFmtId="0" fontId="4" fillId="0" borderId="0" pivotButton="0" quotePrefix="0" xfId="0"/>
    <xf numFmtId="0" fontId="5" fillId="4" borderId="0" pivotButton="0" quotePrefix="0" xfId="0"/>
    <xf numFmtId="0" fontId="6" fillId="0" borderId="0" applyAlignment="1" pivotButton="0" quotePrefix="0" xfId="0">
      <alignment vertical="center" wrapText="1"/>
    </xf>
    <xf numFmtId="165" fontId="5" fillId="4" borderId="0" pivotButton="0" quotePrefix="0" xfId="0"/>
    <xf numFmtId="0" fontId="7" fillId="4" borderId="0" pivotButton="0" quotePrefix="0" xfId="0"/>
    <xf numFmtId="0" fontId="8" fillId="5" borderId="0" pivotButton="0" quotePrefix="0" xfId="0"/>
    <xf numFmtId="0" fontId="9" fillId="6" borderId="0" applyAlignment="1" pivotButton="0" quotePrefix="0" xfId="0">
      <alignment vertical="center" wrapText="1"/>
    </xf>
    <xf numFmtId="0" fontId="9" fillId="7" borderId="0" applyAlignment="1" pivotButton="0" quotePrefix="0" xfId="0">
      <alignment vertical="center" wrapText="1"/>
    </xf>
    <xf numFmtId="0" fontId="10" fillId="8" borderId="1" applyAlignment="1" pivotButton="0" quotePrefix="0" xfId="0">
      <alignment horizontal="center" vertical="center" wrapText="1"/>
    </xf>
    <xf numFmtId="0" fontId="11" fillId="7" borderId="2" applyAlignment="1" pivotButton="0" quotePrefix="0" xfId="1">
      <alignment vertical="center" wrapText="1"/>
    </xf>
    <xf numFmtId="0" fontId="0" fillId="7" borderId="2" applyAlignment="1" pivotButton="0" quotePrefix="0" xfId="0">
      <alignment vertical="center" wrapText="1"/>
    </xf>
    <xf numFmtId="0" fontId="11" fillId="6" borderId="2" applyAlignment="1" pivotButton="0" quotePrefix="0" xfId="1">
      <alignment vertical="center" wrapText="1"/>
    </xf>
    <xf numFmtId="0" fontId="0" fillId="6" borderId="2" applyAlignment="1" pivotButton="0" quotePrefix="0" xfId="0">
      <alignment vertical="center" wrapText="1"/>
    </xf>
    <xf numFmtId="0" fontId="12" fillId="5" borderId="3" applyAlignment="1" pivotButton="0" quotePrefix="0" xfId="0">
      <alignment vertical="center" wrapText="1"/>
    </xf>
    <xf numFmtId="0" fontId="13" fillId="2" borderId="0" applyAlignment="1" pivotButton="0" quotePrefix="0" xfId="0">
      <alignment vertical="center"/>
    </xf>
    <xf numFmtId="0" fontId="14" fillId="3" borderId="0" applyAlignment="1" pivotButton="0" quotePrefix="0" xfId="0">
      <alignment vertical="center"/>
    </xf>
    <xf numFmtId="0" fontId="5" fillId="6" borderId="2" applyAlignment="1" pivotButton="0" quotePrefix="0" xfId="0">
      <alignment vertical="top" wrapText="1"/>
    </xf>
    <xf numFmtId="165" fontId="5" fillId="6" borderId="2" applyAlignment="1" pivotButton="0" quotePrefix="0" xfId="0">
      <alignment vertical="top" wrapText="1"/>
    </xf>
    <xf numFmtId="0" fontId="11" fillId="0" borderId="0" pivotButton="0" quotePrefix="0" xfId="1"/>
    <xf numFmtId="0" fontId="5" fillId="7" borderId="2" applyAlignment="1" pivotButton="0" quotePrefix="0" xfId="0">
      <alignment vertical="top" wrapText="1"/>
    </xf>
    <xf numFmtId="165" fontId="5" fillId="7" borderId="2" applyAlignment="1" pivotButton="0" quotePrefix="0" xfId="0">
      <alignment vertical="top" wrapText="1"/>
    </xf>
    <xf numFmtId="0" fontId="15" fillId="4" borderId="0" applyAlignment="1" pivotButton="0" quotePrefix="0" xfId="0">
      <alignment vertical="center" wrapText="1"/>
    </xf>
    <xf numFmtId="0" fontId="5" fillId="6" borderId="2" applyAlignment="1" pivotButton="0" quotePrefix="0" xfId="0">
      <alignment vertical="center" wrapText="1"/>
    </xf>
    <xf numFmtId="167" fontId="16" fillId="6" borderId="2" applyAlignment="1" pivotButton="0" quotePrefix="0" xfId="0">
      <alignment vertical="center" wrapText="1"/>
    </xf>
    <xf numFmtId="0" fontId="17" fillId="0" borderId="0" applyAlignment="1" pivotButton="0" quotePrefix="0" xfId="0">
      <alignment horizontal="center" vertical="center" wrapText="1"/>
    </xf>
    <xf numFmtId="0" fontId="5" fillId="7" borderId="2" applyAlignment="1" pivotButton="0" quotePrefix="0" xfId="0">
      <alignment vertical="center" wrapText="1"/>
    </xf>
    <xf numFmtId="168" fontId="16" fillId="7" borderId="2" applyAlignment="1" pivotButton="0" quotePrefix="0" xfId="0">
      <alignment vertical="center" wrapText="1"/>
    </xf>
    <xf numFmtId="168" fontId="16" fillId="6" borderId="2" applyAlignment="1" pivotButton="0" quotePrefix="0" xfId="0">
      <alignment vertical="center" wrapText="1"/>
    </xf>
    <xf numFmtId="168" fontId="5" fillId="7" borderId="2" applyAlignment="1" pivotButton="0" quotePrefix="0" xfId="0">
      <alignment vertical="center" wrapText="1"/>
    </xf>
    <xf numFmtId="168" fontId="5" fillId="6" borderId="2" applyAlignment="1" pivotButton="0" quotePrefix="0" xfId="0">
      <alignment vertical="center" wrapText="1"/>
    </xf>
    <xf numFmtId="169" fontId="5" fillId="7" borderId="2" applyAlignment="1" pivotButton="0" quotePrefix="0" xfId="0">
      <alignment vertical="center" wrapText="1"/>
    </xf>
    <xf numFmtId="10" fontId="5" fillId="6" borderId="2" applyAlignment="1" pivotButton="0" quotePrefix="0" xfId="0">
      <alignment vertical="center" wrapText="1"/>
    </xf>
    <xf numFmtId="10" fontId="5" fillId="7" borderId="2" applyAlignment="1" pivotButton="0" quotePrefix="0" xfId="0">
      <alignment vertical="center" wrapText="1"/>
    </xf>
    <xf numFmtId="169" fontId="5" fillId="6" borderId="2" applyAlignment="1" pivotButton="0" quotePrefix="0" xfId="0">
      <alignment vertical="center" wrapText="1"/>
    </xf>
    <xf numFmtId="10" fontId="16" fillId="6" borderId="2" applyAlignment="1" pivotButton="0" quotePrefix="0" xfId="0">
      <alignment vertical="center" wrapText="1"/>
    </xf>
    <xf numFmtId="169" fontId="16" fillId="7" borderId="2" applyAlignment="1" pivotButton="0" quotePrefix="0" xfId="0">
      <alignment vertical="center" wrapText="1"/>
    </xf>
    <xf numFmtId="0" fontId="4" fillId="5" borderId="0" applyAlignment="1" pivotButton="0" quotePrefix="0" xfId="0">
      <alignment vertical="center" wrapText="1"/>
    </xf>
    <xf numFmtId="0" fontId="11" fillId="0" borderId="0" applyAlignment="1" pivotButton="0" quotePrefix="0" xfId="1">
      <alignment horizontal="right"/>
    </xf>
    <xf numFmtId="0" fontId="10" fillId="3" borderId="0" applyAlignment="1" pivotButton="0" quotePrefix="0" xfId="0">
      <alignment vertical="center"/>
    </xf>
    <xf numFmtId="170" fontId="16" fillId="7" borderId="2" applyAlignment="1" pivotButton="0" quotePrefix="0" xfId="0">
      <alignment vertical="center" wrapText="1"/>
    </xf>
    <xf numFmtId="170" fontId="5" fillId="7" borderId="2" applyAlignment="1" pivotButton="0" quotePrefix="0" xfId="0">
      <alignment vertical="center" wrapText="1"/>
    </xf>
    <xf numFmtId="170" fontId="16" fillId="6" borderId="2" applyAlignment="1" pivotButton="0" quotePrefix="0" xfId="0">
      <alignment vertical="center" wrapText="1"/>
    </xf>
    <xf numFmtId="170" fontId="5" fillId="6" borderId="2" applyAlignment="1" pivotButton="0" quotePrefix="0" xfId="0">
      <alignment vertical="center" wrapText="1"/>
    </xf>
    <xf numFmtId="0" fontId="5" fillId="9" borderId="2" applyAlignment="1" pivotButton="0" quotePrefix="0" xfId="0">
      <alignment vertical="center" wrapText="1"/>
    </xf>
    <xf numFmtId="171" fontId="5" fillId="6" borderId="2" applyAlignment="1" pivotButton="0" quotePrefix="0" xfId="0">
      <alignment vertical="center" wrapText="1"/>
    </xf>
    <xf numFmtId="167" fontId="16" fillId="7" borderId="2" applyAlignment="1" pivotButton="0" quotePrefix="0" xfId="0">
      <alignment vertical="center" wrapText="1"/>
    </xf>
    <xf numFmtId="167" fontId="5" fillId="7" borderId="2" applyAlignment="1" pivotButton="0" quotePrefix="0" xfId="0">
      <alignment vertical="center" wrapText="1"/>
    </xf>
    <xf numFmtId="0" fontId="18" fillId="5" borderId="0" applyAlignment="1" pivotButton="0" quotePrefix="0" xfId="0">
      <alignment horizontal="center" wrapText="1"/>
    </xf>
    <xf numFmtId="0" fontId="18" fillId="10" borderId="0" applyAlignment="1" pivotButton="0" quotePrefix="0" xfId="0">
      <alignment horizontal="center" wrapText="1"/>
    </xf>
    <xf numFmtId="0" fontId="19" fillId="7" borderId="0" applyAlignment="1" pivotButton="0" quotePrefix="0" xfId="0">
      <alignment horizontal="center" wrapText="1"/>
    </xf>
    <xf numFmtId="0" fontId="5" fillId="0" borderId="0" pivotButton="0" quotePrefix="0" xfId="0"/>
    <xf numFmtId="170" fontId="0" fillId="7" borderId="2" pivotButton="0" quotePrefix="0" xfId="0"/>
    <xf numFmtId="170" fontId="0" fillId="6" borderId="2" pivotButton="0" quotePrefix="0" xfId="0"/>
    <xf numFmtId="171" fontId="5" fillId="6" borderId="2" pivotButton="0" quotePrefix="0" xfId="0"/>
    <xf numFmtId="0" fontId="12" fillId="0" borderId="0" pivotButton="0" quotePrefix="0" xfId="0"/>
    <xf numFmtId="0" fontId="0" fillId="7" borderId="0" applyAlignment="1" pivotButton="0" quotePrefix="0" xfId="0">
      <alignment wrapText="1"/>
    </xf>
    <xf numFmtId="0" fontId="0" fillId="6" borderId="0" applyAlignment="1" pivotButton="0" quotePrefix="0" xfId="0">
      <alignment wrapText="1"/>
    </xf>
    <xf numFmtId="169" fontId="5" fillId="7" borderId="2" pivotButton="0" quotePrefix="0" xfId="0"/>
    <xf numFmtId="0" fontId="0" fillId="6" borderId="2" pivotButton="0" quotePrefix="0" xfId="0"/>
    <xf numFmtId="0" fontId="0" fillId="7" borderId="2" pivotButton="0" quotePrefix="0" xfId="0"/>
    <xf numFmtId="169" fontId="5" fillId="6" borderId="2" pivotButton="0" quotePrefix="0" xfId="0"/>
    <xf numFmtId="171" fontId="5" fillId="7" borderId="2" pivotButton="0" quotePrefix="0" xfId="0"/>
    <xf numFmtId="0" fontId="3" fillId="2" borderId="0" pivotButton="0" quotePrefix="0" xfId="0"/>
    <xf numFmtId="169" fontId="0" fillId="6" borderId="0" pivotButton="0" quotePrefix="0" xfId="0"/>
    <xf numFmtId="169" fontId="0" fillId="7" borderId="0" pivotButton="0" quotePrefix="0" xfId="0"/>
    <xf numFmtId="169" fontId="5" fillId="0" borderId="0" pivotButton="0" quotePrefix="0" xfId="0"/>
    <xf numFmtId="169" fontId="0" fillId="0" borderId="0" pivotButton="0" quotePrefix="0" xfId="0"/>
    <xf numFmtId="0" fontId="20" fillId="5" borderId="0" applyAlignment="1" pivotButton="0" quotePrefix="0" xfId="0">
      <alignment vertical="center" wrapText="1"/>
    </xf>
    <xf numFmtId="0" fontId="0" fillId="0" borderId="6" pivotButton="0" quotePrefix="0" xfId="0"/>
    <xf numFmtId="0" fontId="0" fillId="0" borderId="7" pivotButton="0" quotePrefix="0" xfId="0"/>
    <xf numFmtId="170" fontId="0" fillId="6" borderId="2" applyAlignment="1" pivotButton="0" quotePrefix="0" xfId="0">
      <alignment vertical="center" wrapText="1"/>
    </xf>
    <xf numFmtId="170" fontId="0" fillId="7" borderId="2" applyAlignment="1" pivotButton="0" quotePrefix="0" xfId="0">
      <alignment vertical="center" wrapText="1"/>
    </xf>
    <xf numFmtId="0" fontId="0" fillId="4" borderId="0" applyAlignment="1" pivotButton="0" quotePrefix="0" xfId="0">
      <alignment wrapText="1"/>
    </xf>
    <xf numFmtId="169" fontId="0" fillId="4" borderId="0" applyAlignment="1" pivotButton="0" quotePrefix="0" xfId="0">
      <alignment wrapText="1"/>
    </xf>
    <xf numFmtId="0" fontId="0" fillId="5" borderId="0" applyAlignment="1" pivotButton="0" quotePrefix="0" xfId="0">
      <alignment wrapText="1"/>
    </xf>
    <xf numFmtId="169" fontId="5" fillId="5" borderId="0" applyAlignment="1" pivotButton="0" quotePrefix="0" xfId="0">
      <alignment wrapText="1"/>
    </xf>
    <xf numFmtId="0" fontId="4" fillId="10" borderId="0" applyAlignment="1" pivotButton="0" quotePrefix="0" xfId="0">
      <alignment vertical="center" wrapText="1"/>
    </xf>
    <xf numFmtId="0" fontId="5" fillId="6" borderId="2" pivotButton="0" quotePrefix="0" xfId="0"/>
    <xf numFmtId="0" fontId="5" fillId="7" borderId="2" pivotButton="0" quotePrefix="0" xfId="0"/>
    <xf numFmtId="170" fontId="21" fillId="7" borderId="2" pivotButton="0" quotePrefix="0" xfId="0"/>
    <xf numFmtId="170" fontId="21" fillId="6" borderId="2" pivotButton="0" quotePrefix="0" xfId="0"/>
    <xf numFmtId="0" fontId="4" fillId="7" borderId="2" pivotButton="0" quotePrefix="0" xfId="0"/>
    <xf numFmtId="172" fontId="21" fillId="7" borderId="2" pivotButton="0" quotePrefix="0" xfId="0"/>
    <xf numFmtId="0" fontId="4" fillId="6" borderId="2" pivotButton="0" quotePrefix="0" xfId="0"/>
    <xf numFmtId="172" fontId="21" fillId="6" borderId="2" pivotButton="0" quotePrefix="0" xfId="0"/>
    <xf numFmtId="171" fontId="21" fillId="6" borderId="2" pivotButton="0" quotePrefix="0" xfId="0"/>
    <xf numFmtId="171" fontId="21" fillId="7" borderId="2" pivotButton="0" quotePrefix="0" xfId="0"/>
    <xf numFmtId="171" fontId="0" fillId="6" borderId="2" applyAlignment="1" pivotButton="0" quotePrefix="0" xfId="0">
      <alignment vertical="center" wrapText="1"/>
    </xf>
    <xf numFmtId="171" fontId="0" fillId="7" borderId="2" applyAlignment="1" pivotButton="0" quotePrefix="0" xfId="0">
      <alignment vertical="center" wrapText="1"/>
    </xf>
    <xf numFmtId="0" fontId="4" fillId="6" borderId="2" applyAlignment="1" pivotButton="0" quotePrefix="0" xfId="0">
      <alignment vertical="center" wrapText="1"/>
    </xf>
    <xf numFmtId="0" fontId="5" fillId="6" borderId="2" applyAlignment="1" pivotButton="0" quotePrefix="0" xfId="0">
      <alignment horizontal="center" vertical="center" wrapText="1"/>
    </xf>
    <xf numFmtId="0" fontId="4" fillId="7" borderId="2" applyAlignment="1" pivotButton="0" quotePrefix="0" xfId="0">
      <alignment vertical="center" wrapText="1"/>
    </xf>
    <xf numFmtId="170" fontId="16" fillId="7" borderId="2" applyAlignment="1" pivotButton="0" quotePrefix="0" xfId="0">
      <alignment horizontal="center" vertical="center" wrapText="1"/>
    </xf>
    <xf numFmtId="171" fontId="5" fillId="6" borderId="2" applyAlignment="1" pivotButton="0" quotePrefix="0" xfId="0">
      <alignment horizontal="center" vertical="center" wrapText="1"/>
    </xf>
    <xf numFmtId="171" fontId="5" fillId="7" borderId="2" applyAlignment="1" pivotButton="0" quotePrefix="0" xfId="0">
      <alignment horizontal="center" vertical="center" wrapText="1"/>
    </xf>
    <xf numFmtId="171" fontId="16" fillId="6" borderId="2" applyAlignment="1" pivotButton="0" quotePrefix="0" xfId="0">
      <alignment horizontal="center" vertical="center" wrapText="1"/>
    </xf>
    <xf numFmtId="0" fontId="22" fillId="5" borderId="0" applyProtection="1" pivotButton="0" quotePrefix="0" xfId="0">
      <protection locked="0" hidden="0"/>
    </xf>
    <xf numFmtId="0" fontId="16" fillId="5" borderId="0" pivotButton="0" quotePrefix="0" xfId="0"/>
    <xf numFmtId="0" fontId="6" fillId="0" borderId="0" pivotButton="0" quotePrefix="0" xfId="0"/>
    <xf numFmtId="171" fontId="16" fillId="5" borderId="2" applyAlignment="1" applyProtection="1" pivotButton="0" quotePrefix="0" xfId="0">
      <alignment vertical="center" wrapText="1"/>
      <protection locked="0" hidden="0"/>
    </xf>
    <xf numFmtId="171" fontId="5" fillId="9" borderId="2" applyAlignment="1" pivotButton="0" quotePrefix="0" xfId="0">
      <alignment vertical="center" wrapText="1"/>
    </xf>
    <xf numFmtId="170" fontId="16" fillId="5" borderId="2" applyAlignment="1" applyProtection="1" pivotButton="0" quotePrefix="0" xfId="0">
      <alignment vertical="center" wrapText="1"/>
      <protection locked="0" hidden="0"/>
    </xf>
    <xf numFmtId="170" fontId="5" fillId="9" borderId="2" applyAlignment="1" pivotButton="0" quotePrefix="0" xfId="0">
      <alignment vertical="center" wrapText="1"/>
    </xf>
    <xf numFmtId="173" fontId="16" fillId="5" borderId="2" applyAlignment="1" applyProtection="1" pivotButton="0" quotePrefix="0" xfId="0">
      <alignment vertical="center" wrapText="1"/>
      <protection locked="0" hidden="0"/>
    </xf>
    <xf numFmtId="173" fontId="5" fillId="9" borderId="2" applyAlignment="1" pivotButton="0" quotePrefix="0" xfId="0">
      <alignment vertical="center" wrapText="1"/>
    </xf>
    <xf numFmtId="168" fontId="16" fillId="5" borderId="2" applyAlignment="1" applyProtection="1" pivotButton="0" quotePrefix="0" xfId="0">
      <alignment vertical="center" wrapText="1"/>
      <protection locked="0" hidden="0"/>
    </xf>
    <xf numFmtId="168" fontId="5" fillId="9" borderId="2" applyAlignment="1" pivotButton="0" quotePrefix="0" xfId="0">
      <alignment vertical="center" wrapText="1"/>
    </xf>
    <xf numFmtId="0" fontId="23" fillId="0" borderId="2" pivotButton="0" quotePrefix="0" xfId="0"/>
    <xf numFmtId="0" fontId="21" fillId="6" borderId="2" applyAlignment="1" pivotButton="0" quotePrefix="0" xfId="0">
      <alignment vertical="center" wrapText="1"/>
    </xf>
    <xf numFmtId="170" fontId="21" fillId="7" borderId="2" applyAlignment="1" pivotButton="0" quotePrefix="0" xfId="0">
      <alignment horizontal="center" vertical="center" wrapText="1"/>
    </xf>
    <xf numFmtId="171" fontId="21" fillId="7" borderId="2" applyAlignment="1" pivotButton="0" quotePrefix="0" xfId="0">
      <alignment vertical="center" wrapText="1"/>
    </xf>
    <xf numFmtId="171" fontId="21" fillId="6" borderId="2" applyAlignment="1" pivotButton="0" quotePrefix="0" xfId="0">
      <alignment horizontal="center" vertical="center" wrapText="1"/>
    </xf>
    <xf numFmtId="171" fontId="21" fillId="6" borderId="2" applyAlignment="1" pivotButton="0" quotePrefix="0" xfId="0">
      <alignment vertical="center" wrapText="1"/>
    </xf>
    <xf numFmtId="0" fontId="4" fillId="0" borderId="2" pivotButton="0" quotePrefix="0" xfId="0"/>
    <xf numFmtId="170" fontId="5" fillId="7" borderId="2" applyAlignment="1" pivotButton="0" quotePrefix="0" xfId="0">
      <alignment horizontal="center" vertical="center" wrapText="1"/>
    </xf>
    <xf numFmtId="171" fontId="21" fillId="7" borderId="2" applyAlignment="1" pivotButton="0" quotePrefix="0" xfId="0">
      <alignment horizontal="center" vertical="center" wrapText="1"/>
    </xf>
    <xf numFmtId="170" fontId="21" fillId="6" borderId="2" applyAlignment="1" pivotButton="0" quotePrefix="0" xfId="0">
      <alignment horizontal="center" vertical="center" wrapText="1"/>
    </xf>
    <xf numFmtId="170" fontId="5" fillId="6" borderId="2" applyAlignment="1" pivotButton="0" quotePrefix="0" xfId="0">
      <alignment horizontal="center" vertical="center" wrapText="1"/>
    </xf>
    <xf numFmtId="170" fontId="21" fillId="6" borderId="2" applyAlignment="1" pivotButton="0" quotePrefix="0" xfId="0">
      <alignment vertical="center" wrapText="1"/>
    </xf>
    <xf numFmtId="170" fontId="21" fillId="7" borderId="2" applyAlignment="1" pivotButton="0" quotePrefix="0" xfId="0">
      <alignment vertical="center" wrapText="1"/>
    </xf>
    <xf numFmtId="173" fontId="5" fillId="7" borderId="2" applyAlignment="1" pivotButton="0" quotePrefix="0" xfId="0">
      <alignment horizontal="center" vertical="center" wrapText="1"/>
    </xf>
    <xf numFmtId="168" fontId="21" fillId="7" borderId="2" applyAlignment="1" pivotButton="0" quotePrefix="0" xfId="0">
      <alignment vertical="center" wrapText="1"/>
    </xf>
    <xf numFmtId="167" fontId="5" fillId="6" borderId="2" applyAlignment="1" pivotButton="0" quotePrefix="0" xfId="0">
      <alignment vertical="center" wrapText="1"/>
    </xf>
    <xf numFmtId="167" fontId="21" fillId="7" borderId="2" applyAlignment="1" pivotButton="0" quotePrefix="0" xfId="0">
      <alignment vertical="center" wrapText="1"/>
    </xf>
    <xf numFmtId="0" fontId="4" fillId="5" borderId="2" applyAlignment="1" pivotButton="0" quotePrefix="0" xfId="0">
      <alignment vertical="center" wrapText="1"/>
    </xf>
    <xf numFmtId="0" fontId="5" fillId="5" borderId="2" applyAlignment="1" pivotButton="0" quotePrefix="0" xfId="0">
      <alignment vertical="center" wrapText="1"/>
    </xf>
    <xf numFmtId="173" fontId="5" fillId="6" borderId="2" applyAlignment="1" pivotButton="0" quotePrefix="0" xfId="0">
      <alignment vertical="center" wrapText="1"/>
    </xf>
    <xf numFmtId="173" fontId="21" fillId="7" borderId="2" applyAlignment="1" pivotButton="0" quotePrefix="0" xfId="0">
      <alignment vertical="center" wrapText="1"/>
    </xf>
    <xf numFmtId="173" fontId="21" fillId="6" borderId="2" applyAlignment="1" pivotButton="0" quotePrefix="0" xfId="0">
      <alignment vertical="center" wrapText="1"/>
    </xf>
    <xf numFmtId="173" fontId="5" fillId="7" borderId="2" applyAlignment="1" pivotButton="0" quotePrefix="0" xfId="0">
      <alignment vertical="center" wrapText="1"/>
    </xf>
    <xf numFmtId="171" fontId="5" fillId="7" borderId="2" applyAlignment="1" pivotButton="0" quotePrefix="0" xfId="0">
      <alignment vertical="center" wrapText="1"/>
    </xf>
    <xf numFmtId="0" fontId="10" fillId="3" borderId="0" applyAlignment="1" pivotButton="0" quotePrefix="0" xfId="0">
      <alignment horizontal="center" vertical="center"/>
    </xf>
    <xf numFmtId="170" fontId="5" fillId="5" borderId="2" applyAlignment="1" pivotButton="0" quotePrefix="0" xfId="0">
      <alignment vertical="center" wrapText="1"/>
    </xf>
    <xf numFmtId="0" fontId="4" fillId="4" borderId="0" applyAlignment="1" pivotButton="0" quotePrefix="0" xfId="0">
      <alignment vertical="center" wrapText="1"/>
    </xf>
    <xf numFmtId="0" fontId="6" fillId="0" borderId="0" applyAlignment="1" pivotButton="0" quotePrefix="0" xfId="0">
      <alignment wrapText="1"/>
    </xf>
    <xf numFmtId="170" fontId="5" fillId="7" borderId="2" pivotButton="0" quotePrefix="0" xfId="0"/>
    <xf numFmtId="170" fontId="5" fillId="6" borderId="2" pivotButton="0" quotePrefix="0" xfId="0"/>
    <xf numFmtId="167" fontId="5" fillId="6" borderId="2" pivotButton="0" quotePrefix="0" xfId="0"/>
    <xf numFmtId="167" fontId="21" fillId="7" borderId="2" pivotButton="0" quotePrefix="0" xfId="0"/>
    <xf numFmtId="0" fontId="3" fillId="3" borderId="0" applyAlignment="1" pivotButton="0" quotePrefix="0" xfId="0">
      <alignment horizontal="center"/>
    </xf>
    <xf numFmtId="0" fontId="23" fillId="0" borderId="0" pivotButton="0" quotePrefix="0" xfId="0"/>
    <xf numFmtId="170" fontId="21" fillId="7" borderId="2" applyAlignment="1" pivotButton="0" quotePrefix="0" xfId="0">
      <alignment horizontal="center" vertical="center"/>
    </xf>
    <xf numFmtId="171" fontId="21" fillId="6" borderId="2" applyAlignment="1" pivotButton="0" quotePrefix="0" xfId="0">
      <alignment horizontal="center" vertical="center"/>
    </xf>
    <xf numFmtId="170" fontId="5" fillId="7" borderId="2" applyAlignment="1" pivotButton="0" quotePrefix="0" xfId="0">
      <alignment horizontal="center" vertical="center"/>
    </xf>
    <xf numFmtId="170" fontId="21" fillId="6" borderId="2" applyAlignment="1" pivotButton="0" quotePrefix="0" xfId="0">
      <alignment horizontal="center" vertical="center"/>
    </xf>
    <xf numFmtId="170" fontId="5" fillId="6" borderId="2" applyAlignment="1" pivotButton="0" quotePrefix="0" xfId="0">
      <alignment horizontal="center" vertical="center"/>
    </xf>
    <xf numFmtId="173" fontId="0" fillId="7" borderId="2" applyAlignment="1" pivotButton="0" quotePrefix="0" xfId="0">
      <alignment horizontal="center" vertical="center"/>
    </xf>
    <xf numFmtId="170" fontId="0" fillId="7" borderId="2" applyAlignment="1" pivotButton="0" quotePrefix="0" xfId="0">
      <alignment horizontal="center" vertical="center"/>
    </xf>
    <xf numFmtId="170" fontId="0" fillId="6" borderId="2" applyAlignment="1" pivotButton="0" quotePrefix="0" xfId="0">
      <alignment horizontal="center" vertical="center"/>
    </xf>
    <xf numFmtId="167" fontId="0" fillId="6" borderId="2" applyAlignment="1" pivotButton="0" quotePrefix="0" xfId="0">
      <alignment horizontal="center" vertical="center"/>
    </xf>
    <xf numFmtId="167" fontId="21" fillId="6" borderId="2" applyAlignment="1" pivotButton="0" quotePrefix="0" xfId="0">
      <alignment horizontal="center" vertical="center"/>
    </xf>
    <xf numFmtId="171" fontId="0" fillId="0" borderId="0" pivotButton="0" quotePrefix="0" xfId="0"/>
    <xf numFmtId="167" fontId="0" fillId="0" borderId="0" applyAlignment="1" pivotButton="0" quotePrefix="0" xfId="0">
      <alignment horizontal="center"/>
    </xf>
    <xf numFmtId="173" fontId="0" fillId="0" borderId="0" pivotButton="0" quotePrefix="0" xfId="0"/>
    <xf numFmtId="0" fontId="24" fillId="6" borderId="2" applyAlignment="1" pivotButton="0" quotePrefix="0" xfId="0">
      <alignment vertical="center" wrapText="1"/>
    </xf>
    <xf numFmtId="169" fontId="21" fillId="6" borderId="2" applyAlignment="1" pivotButton="0" quotePrefix="0" xfId="0">
      <alignment vertical="center" wrapText="1"/>
    </xf>
    <xf numFmtId="0" fontId="8" fillId="6" borderId="2" applyAlignment="1" pivotButton="0" quotePrefix="0" xfId="0">
      <alignment vertical="center" wrapText="1"/>
    </xf>
    <xf numFmtId="0" fontId="4" fillId="7" borderId="0" applyAlignment="1" pivotButton="0" quotePrefix="0" xfId="0">
      <alignment wrapText="1"/>
    </xf>
    <xf numFmtId="0" fontId="8" fillId="4" borderId="0" applyAlignment="1" pivotButton="0" quotePrefix="0" xfId="0">
      <alignment wrapText="1"/>
    </xf>
    <xf numFmtId="0" fontId="24" fillId="7" borderId="2" applyAlignment="1" pivotButton="0" quotePrefix="0" xfId="0">
      <alignment vertical="center" wrapText="1"/>
    </xf>
    <xf numFmtId="169" fontId="21" fillId="7" borderId="2" applyAlignment="1" pivotButton="0" quotePrefix="0" xfId="0">
      <alignment vertical="center" wrapText="1"/>
    </xf>
    <xf numFmtId="0" fontId="8" fillId="7" borderId="2" applyAlignment="1" pivotButton="0" quotePrefix="0" xfId="0">
      <alignment vertical="center" wrapText="1"/>
    </xf>
    <xf numFmtId="0" fontId="8" fillId="5" borderId="0" applyAlignment="1" pivotButton="0" quotePrefix="0" xfId="0">
      <alignment wrapText="1"/>
    </xf>
    <xf numFmtId="0" fontId="25" fillId="7" borderId="2" applyAlignment="1" pivotButton="0" quotePrefix="0" xfId="0">
      <alignment vertical="center" wrapText="1"/>
    </xf>
    <xf numFmtId="0" fontId="25" fillId="6" borderId="2" applyAlignment="1" pivotButton="0" quotePrefix="0" xfId="0">
      <alignment vertical="center" wrapText="1"/>
    </xf>
  </cellXfs>
  <cellStyles count="2">
    <cellStyle name="Normal" xfId="0" builtinId="0" hidden="0"/>
    <cellStyle name="Hyperlink" xfId="1" builtinId="8" hidden="0"/>
  </cellStyles>
  <dxfs count="3">
    <dxf>
      <fill>
        <patternFill patternType="solid">
          <fgColor rgb="00E2F0D9"/>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Q1 operating snapshot</a:t>
            </a:r>
          </a:p>
        </rich>
      </tx>
    </title>
    <plotArea>
      <barChart>
        <barDir val="col"/>
        <grouping val="clustered"/>
        <ser>
          <idx val="0"/>
          <order val="0"/>
          <tx>
            <strRef>
              <f>'Q1_Actuals'!M2</f>
            </strRef>
          </tx>
          <spPr>
            <a:ln xmlns:a="http://schemas.openxmlformats.org/drawingml/2006/main">
              <a:prstDash val="solid"/>
            </a:ln>
          </spPr>
          <cat>
            <numRef>
              <f>'Q1_Actuals'!$L$3:$L$5</f>
            </numRef>
          </cat>
          <val>
            <numRef>
              <f>'Q1_Actuals'!$M$3:$M$5</f>
            </numRef>
          </val>
        </ser>
        <ser>
          <idx val="1"/>
          <order val="1"/>
          <tx>
            <strRef>
              <f>'Q1_Actuals'!N2</f>
            </strRef>
          </tx>
          <spPr>
            <a:ln xmlns:a="http://schemas.openxmlformats.org/drawingml/2006/main">
              <a:prstDash val="solid"/>
            </a:ln>
          </spPr>
          <cat>
            <numRef>
              <f>'Q1_Actuals'!$L$3:$L$5</f>
            </numRef>
          </cat>
          <val>
            <numRef>
              <f>'Q1_Actuals'!$N$3:$N$5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VND bn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Revenue and NPAT history</a:t>
            </a:r>
          </a:p>
        </rich>
      </tx>
    </title>
    <plotArea>
      <barChart>
        <barDir val="col"/>
        <grouping val="clustered"/>
        <ser>
          <idx val="0"/>
          <order val="0"/>
          <spPr>
            <a:ln xmlns:a="http://schemas.openxmlformats.org/drawingml/2006/main">
              <a:prstDash val="solid"/>
            </a:ln>
          </spPr>
          <cat>
            <numRef>
              <f>'3Y_Statements'!$C$5:$E$5</f>
            </numRef>
          </cat>
          <val>
            <numRef>
              <f>'3Y_Statements'!$C$10:$E$10</f>
            </numRef>
          </val>
        </ser>
        <ser>
          <idx val="1"/>
          <order val="1"/>
          <spPr>
            <a:ln xmlns:a="http://schemas.openxmlformats.org/drawingml/2006/main">
              <a:prstDash val="solid"/>
            </a:ln>
          </spPr>
          <cat>
            <numRef>
              <f>'3Y_Statements'!$C$5:$E$5</f>
            </numRef>
          </cat>
          <val>
            <numRef>
              <f>'3Y_Statements'!$C$20:$E$20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VND bn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Company outlook: revenue and NPAT</a:t>
            </a:r>
          </a:p>
        </rich>
      </tx>
    </title>
    <plotArea>
      <lineChart>
        <grouping val="standard"/>
        <ser>
          <idx val="0"/>
          <order val="0"/>
          <tx>
            <strRef>
              <f>'Mgmt_Forecast'!B6</f>
            </strRef>
          </tx>
          <spPr>
            <a:ln xmlns:a="http://schemas.openxmlformats.org/drawingml/2006/main">
              <a:prstDash val="solid"/>
            </a:ln>
          </spPr>
          <marker>
            <symbol val="none"/>
            <spPr>
              <a:ln xmlns:a="http://schemas.openxmlformats.org/drawingml/2006/main">
                <a:prstDash val="solid"/>
              </a:ln>
            </spPr>
          </marker>
          <cat>
            <numRef>
              <f>'Mgmt_Forecast'!$C$4:$H$4</f>
            </numRef>
          </cat>
          <val>
            <numRef>
              <f>'Mgmt_Forecast'!$C$6:$H$6</f>
            </numRef>
          </val>
        </ser>
        <ser>
          <idx val="1"/>
          <order val="1"/>
          <tx>
            <strRef>
              <f>'Mgmt_Forecast'!B8</f>
            </strRef>
          </tx>
          <spPr>
            <a:ln xmlns:a="http://schemas.openxmlformats.org/drawingml/2006/main">
              <a:prstDash val="solid"/>
            </a:ln>
          </spPr>
          <marker>
            <symbol val="none"/>
            <spPr>
              <a:ln xmlns:a="http://schemas.openxmlformats.org/drawingml/2006/main">
                <a:prstDash val="solid"/>
              </a:ln>
            </spPr>
          </marker>
          <cat>
            <numRef>
              <f>'Mgmt_Forecast'!$C$4:$H$4</f>
            </numRef>
          </cat>
          <val>
            <numRef>
              <f>'Mgmt_Forecast'!$C$8:$H$8</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VND bn</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Illustrative scenario value / share</a:t>
            </a:r>
          </a:p>
        </rich>
      </tx>
    </title>
    <plotArea>
      <barChart>
        <barDir val="col"/>
        <grouping val="clustered"/>
        <ser>
          <idx val="0"/>
          <order val="0"/>
          <tx>
            <strRef>
              <f>'Scenarios'!A13</f>
            </strRef>
          </tx>
          <spPr>
            <a:ln xmlns:a="http://schemas.openxmlformats.org/drawingml/2006/main">
              <a:prstDash val="solid"/>
            </a:ln>
          </spPr>
          <cat>
            <numRef>
              <f>'Scenarios'!$B$4:$D$4</f>
            </numRef>
          </cat>
          <val>
            <numRef>
              <f>'Scenarios'!$B$13:$D$13</f>
            </numRef>
          </val>
        </ser>
        <ser>
          <idx val="1"/>
          <order val="1"/>
          <tx>
            <strRef>
              <f>'Scenarios'!A14</f>
            </strRef>
          </tx>
          <spPr>
            <a:ln xmlns:a="http://schemas.openxmlformats.org/drawingml/2006/main">
              <a:prstDash val="solid"/>
            </a:ln>
          </spPr>
          <cat>
            <numRef>
              <f>'Scenarios'!$B$4:$D$4</f>
            </numRef>
          </cat>
          <val>
            <numRef>
              <f>'Scenarios'!$B$14:$D$14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VND/share</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MWG-DMX portfolio model</author>
  </authors>
  <commentList>
    <comment ref="C10" authorId="0" shapeId="0">
      <text>
        <t>FY2023A; comparative unaudited; consolidated reported basis.</t>
      </text>
    </comment>
    <comment ref="D10" authorId="0" shapeId="0">
      <text>
        <t>FY2024A; audited; consolidated reported basis.</t>
      </text>
    </comment>
    <comment ref="E10" authorId="0" shapeId="0">
      <text>
        <t>FY2025A; audited; consolidated reported basis.</t>
      </text>
    </comment>
    <comment ref="F10" authorId="0" shapeId="0">
      <text>
        <t>Q1 2026A; unaudited; consolidated reported basis.</t>
      </text>
    </comment>
    <comment ref="C11" authorId="0" shapeId="0">
      <text>
        <t>FY2023A; comparative unaudited; consolidated reported basis.</t>
      </text>
    </comment>
    <comment ref="D11" authorId="0" shapeId="0">
      <text>
        <t>FY2024A; audited; consolidated reported basis.</t>
      </text>
    </comment>
    <comment ref="E11" authorId="0" shapeId="0">
      <text>
        <t>FY2025A; audited; consolidated reported basis.</t>
      </text>
    </comment>
    <comment ref="F11" authorId="0" shapeId="0">
      <text>
        <t>Q1 2026A; unaudited; consolidated reported basis.</t>
      </text>
    </comment>
    <comment ref="C12" authorId="0" shapeId="0">
      <text>
        <t>FY2023A; comparative unaudited; consolidated reported basis.</t>
      </text>
    </comment>
    <comment ref="D12" authorId="0" shapeId="0">
      <text>
        <t>FY2024A; audited; consolidated reported basis.</t>
      </text>
    </comment>
    <comment ref="E12" authorId="0" shapeId="0">
      <text>
        <t>FY2025A; audited; consolidated reported basis.</t>
      </text>
    </comment>
    <comment ref="F12" authorId="0" shapeId="0">
      <text>
        <t>Q1 2026A; unaudited; consolidated reported basis.</t>
      </text>
    </comment>
    <comment ref="C14" authorId="0" shapeId="0">
      <text>
        <t>FY2023A; comparative unaudited; consolidated reported basis.</t>
      </text>
    </comment>
    <comment ref="D14" authorId="0" shapeId="0">
      <text>
        <t>FY2024A; audited; consolidated reported basis.</t>
      </text>
    </comment>
    <comment ref="E14" authorId="0" shapeId="0">
      <text>
        <t>FY2025A; audited; consolidated reported basis.</t>
      </text>
    </comment>
    <comment ref="F14" authorId="0" shapeId="0">
      <text>
        <t>Q1 2026A; unaudited; consolidated reported basis.</t>
      </text>
    </comment>
    <comment ref="C15" authorId="0" shapeId="0">
      <text>
        <t>FY2023A; comparative unaudited; consolidated reported basis.</t>
      </text>
    </comment>
    <comment ref="D15" authorId="0" shapeId="0">
      <text>
        <t>FY2024A; audited; consolidated reported basis.</t>
      </text>
    </comment>
    <comment ref="E15" authorId="0" shapeId="0">
      <text>
        <t>FY2025A; audited; consolidated reported basis.</t>
      </text>
    </comment>
    <comment ref="F15" authorId="0" shapeId="0">
      <text>
        <t>Q1 2026A; unaudited; consolidated reported basis.</t>
      </text>
    </comment>
    <comment ref="C16" authorId="0" shapeId="0">
      <text>
        <t>FY2023A; comparative unaudited; consolidated reported basis.</t>
      </text>
    </comment>
    <comment ref="D16" authorId="0" shapeId="0">
      <text>
        <t>FY2024A; audited; consolidated reported basis.</t>
      </text>
    </comment>
    <comment ref="E16" authorId="0" shapeId="0">
      <text>
        <t>FY2025A; audited; consolidated reported basis.</t>
      </text>
    </comment>
    <comment ref="F16" authorId="0" shapeId="0">
      <text>
        <t>Q1 2026A; unaudited; consolidated reported basis.</t>
      </text>
    </comment>
    <comment ref="C18" authorId="0" shapeId="0">
      <text>
        <t>FY2023A; comparative unaudited; consolidated reported basis.</t>
      </text>
    </comment>
    <comment ref="D18" authorId="0" shapeId="0">
      <text>
        <t>FY2024A; audited; consolidated reported basis.</t>
      </text>
    </comment>
    <comment ref="E18" authorId="0" shapeId="0">
      <text>
        <t>FY2025A; audited; consolidated reported basis.</t>
      </text>
    </comment>
    <comment ref="F18" authorId="0" shapeId="0">
      <text>
        <t>Q1 2026A; unaudited; consolidated reported basis.</t>
      </text>
    </comment>
    <comment ref="C19" authorId="0" shapeId="0">
      <text>
        <t>FY2023A; comparative unaudited; consolidated reported basis.</t>
      </text>
    </comment>
    <comment ref="D19" authorId="0" shapeId="0">
      <text>
        <t>FY2024A; audited; consolidated reported basis.</t>
      </text>
    </comment>
    <comment ref="E19" authorId="0" shapeId="0">
      <text>
        <t>FY2025A; audited; consolidated reported basis.</t>
      </text>
    </comment>
    <comment ref="F19" authorId="0" shapeId="0">
      <text>
        <t>Q1 2026A; unaudited; consolidated reported basis.</t>
      </text>
    </comment>
    <comment ref="C20" authorId="0" shapeId="0">
      <text>
        <t>FY2023A; comparative unaudited; consolidated reported basis.</t>
      </text>
    </comment>
    <comment ref="D20" authorId="0" shapeId="0">
      <text>
        <t>FY2024A; audited; consolidated reported basis.</t>
      </text>
    </comment>
    <comment ref="E20" authorId="0" shapeId="0">
      <text>
        <t>FY2025A; audited; consolidated reported basis.</t>
      </text>
    </comment>
    <comment ref="F20" authorId="0" shapeId="0">
      <text>
        <t>Q1 2026A; unaudited; consolidated reported basis.</t>
      </text>
    </comment>
    <comment ref="C24" authorId="0" shapeId="0">
      <text>
        <t>FY2023A; comparative unaudited; consolidated reported basis.</t>
      </text>
    </comment>
    <comment ref="D24" authorId="0" shapeId="0">
      <text>
        <t>FY2024A; audited; consolidated reported basis.</t>
      </text>
    </comment>
    <comment ref="E24" authorId="0" shapeId="0">
      <text>
        <t>FY2025A; audited; consolidated reported basis.</t>
      </text>
    </comment>
    <comment ref="F24" authorId="0" shapeId="0">
      <text>
        <t>Q1 2026A; unaudited; consolidated reported basis.</t>
      </text>
    </comment>
    <comment ref="C25" authorId="0" shapeId="0">
      <text>
        <t>FY2023A; comparative unaudited; consolidated reported basis.</t>
      </text>
    </comment>
    <comment ref="D25" authorId="0" shapeId="0">
      <text>
        <t>FY2024A; audited; consolidated reported basis.</t>
      </text>
    </comment>
    <comment ref="E25" authorId="0" shapeId="0">
      <text>
        <t>FY2025A; audited; consolidated reported basis.</t>
      </text>
    </comment>
    <comment ref="F25" authorId="0" shapeId="0">
      <text>
        <t>Q1 2026A; unaudited; consolidated reported basis.</t>
      </text>
    </comment>
    <comment ref="C26" authorId="0" shapeId="0">
      <text>
        <t>FY2023A; comparative unaudited; consolidated reported basis.</t>
      </text>
    </comment>
    <comment ref="D26" authorId="0" shapeId="0">
      <text>
        <t>FY2024A; audited; consolidated reported basis.</t>
      </text>
    </comment>
    <comment ref="E26" authorId="0" shapeId="0">
      <text>
        <t>FY2025A; audited; consolidated reported basis.</t>
      </text>
    </comment>
    <comment ref="F26" authorId="0" shapeId="0">
      <text>
        <t>Q1 2026A; unaudited; consolidated reported basis.</t>
      </text>
    </comment>
    <comment ref="C27" authorId="0" shapeId="0">
      <text>
        <t>FY2023A; comparative unaudited; consolidated reported basis.</t>
      </text>
    </comment>
    <comment ref="D27" authorId="0" shapeId="0">
      <text>
        <t>FY2024A; audited; consolidated reported basis.</t>
      </text>
    </comment>
    <comment ref="E27" authorId="0" shapeId="0">
      <text>
        <t>FY2025A; audited; consolidated reported basis.</t>
      </text>
    </comment>
    <comment ref="F27" authorId="0" shapeId="0">
      <text>
        <t>Q1 2026A; unaudited; consolidated reported basis.</t>
      </text>
    </comment>
    <comment ref="C28" authorId="0" shapeId="0">
      <text>
        <t>FY2023A; comparative unaudited; consolidated reported basis.</t>
      </text>
    </comment>
    <comment ref="D28" authorId="0" shapeId="0">
      <text>
        <t>FY2024A; audited; consolidated reported basis.</t>
      </text>
    </comment>
    <comment ref="E28" authorId="0" shapeId="0">
      <text>
        <t>FY2025A; audited; consolidated reported basis.</t>
      </text>
    </comment>
    <comment ref="F28" authorId="0" shapeId="0">
      <text>
        <t>Q1 2026A; unaudited; consolidated reported basis.</t>
      </text>
    </comment>
    <comment ref="C29" authorId="0" shapeId="0">
      <text>
        <t>FY2023A; comparative unaudited; consolidated reported basis.</t>
      </text>
    </comment>
    <comment ref="D29" authorId="0" shapeId="0">
      <text>
        <t>FY2024A; audited; consolidated reported basis.</t>
      </text>
    </comment>
    <comment ref="E29" authorId="0" shapeId="0">
      <text>
        <t>FY2025A; audited; consolidated reported basis.</t>
      </text>
    </comment>
    <comment ref="F29" authorId="0" shapeId="0">
      <text>
        <t>Q1 2026A; unaudited; consolidated reported basis.</t>
      </text>
    </comment>
    <comment ref="C30" authorId="0" shapeId="0">
      <text>
        <t>FY2023A; comparative unaudited; consolidated reported basis.</t>
      </text>
    </comment>
    <comment ref="D30" authorId="0" shapeId="0">
      <text>
        <t>FY2024A; audited; consolidated reported basis.</t>
      </text>
    </comment>
    <comment ref="E30" authorId="0" shapeId="0">
      <text>
        <t>FY2025A; audited; consolidated reported basis.</t>
      </text>
    </comment>
    <comment ref="F30" authorId="0" shapeId="0">
      <text>
        <t>Q1 2026A; unaudited; consolidated reported basis.</t>
      </text>
    </comment>
    <comment ref="C31" authorId="0" shapeId="0">
      <text>
        <t>FY2023A; comparative unaudited; consolidated reported basis.</t>
      </text>
    </comment>
    <comment ref="D31" authorId="0" shapeId="0">
      <text>
        <t>FY2024A; audited; consolidated reported basis.</t>
      </text>
    </comment>
    <comment ref="E31" authorId="0" shapeId="0">
      <text>
        <t>FY2025A; audited; consolidated reported basis.</t>
      </text>
    </comment>
    <comment ref="F31" authorId="0" shapeId="0">
      <text>
        <t>Q1 2026A; unaudited; consolidated reported basis.</t>
      </text>
    </comment>
    <comment ref="C32" authorId="0" shapeId="0">
      <text>
        <t>FY2023A; comparative unaudited; consolidated reported basis.</t>
      </text>
    </comment>
    <comment ref="D32" authorId="0" shapeId="0">
      <text>
        <t>FY2024A; audited; consolidated reported basis.</t>
      </text>
    </comment>
    <comment ref="E32" authorId="0" shapeId="0">
      <text>
        <t>FY2025A; audited; consolidated reported basis.</t>
      </text>
    </comment>
    <comment ref="F32" authorId="0" shapeId="0">
      <text>
        <t>Q1 2026A; unaudited; consolidated reported basis.</t>
      </text>
    </comment>
    <comment ref="C33" authorId="0" shapeId="0">
      <text>
        <t>FY2023A; comparative unaudited; consolidated reported basis.</t>
      </text>
    </comment>
    <comment ref="D33" authorId="0" shapeId="0">
      <text>
        <t>FY2024A; audited; consolidated reported basis.</t>
      </text>
    </comment>
    <comment ref="E33" authorId="0" shapeId="0">
      <text>
        <t>FY2025A; audited; consolidated reported basis.</t>
      </text>
    </comment>
    <comment ref="F33" authorId="0" shapeId="0">
      <text>
        <t>Q1 2026A; unaudited; consolidated reported basis.</t>
      </text>
    </comment>
    <comment ref="C34" authorId="0" shapeId="0">
      <text>
        <t>FY2023A; comparative unaudited; consolidated reported basis.</t>
      </text>
    </comment>
    <comment ref="D34" authorId="0" shapeId="0">
      <text>
        <t>FY2024A; audited; consolidated reported basis.</t>
      </text>
    </comment>
    <comment ref="E34" authorId="0" shapeId="0">
      <text>
        <t>FY2025A; audited; consolidated reported basis.</t>
      </text>
    </comment>
    <comment ref="F34" authorId="0" shapeId="0">
      <text>
        <t>Q1 2026A; unaudited; consolidated reported basis.</t>
      </text>
    </comment>
    <comment ref="C35" authorId="0" shapeId="0">
      <text>
        <t>FY2023A; comparative unaudited; consolidated reported basis.</t>
      </text>
    </comment>
    <comment ref="D35" authorId="0" shapeId="0">
      <text>
        <t>FY2024A; audited; consolidated reported basis.</t>
      </text>
    </comment>
    <comment ref="E35" authorId="0" shapeId="0">
      <text>
        <t>FY2025A; audited; consolidated reported basis.</t>
      </text>
    </comment>
    <comment ref="F35" authorId="0" shapeId="0">
      <text>
        <t>Q1 2026A; unaudited; consolidated reported basis.</t>
      </text>
    </comment>
    <comment ref="C39" authorId="0" shapeId="0">
      <text>
        <t>FY2023A; comparative unaudited; consolidated reported basis.</t>
      </text>
    </comment>
    <comment ref="D39" authorId="0" shapeId="0">
      <text>
        <t>FY2024A; audited; consolidated reported basis.</t>
      </text>
    </comment>
    <comment ref="E39" authorId="0" shapeId="0">
      <text>
        <t>FY2025A; audited; consolidated reported basis.</t>
      </text>
    </comment>
    <comment ref="F39" authorId="0" shapeId="0">
      <text>
        <t>Q1 2026A; unaudited; consolidated reported basis.</t>
      </text>
    </comment>
    <comment ref="C40" authorId="0" shapeId="0">
      <text>
        <t>FY2023A; comparative unaudited; consolidated reported basis.</t>
      </text>
    </comment>
    <comment ref="D40" authorId="0" shapeId="0">
      <text>
        <t>FY2024A; audited; consolidated reported basis.</t>
      </text>
    </comment>
    <comment ref="E40" authorId="0" shapeId="0">
      <text>
        <t>FY2025A; audited; consolidated reported basis.</t>
      </text>
    </comment>
    <comment ref="F40" authorId="0" shapeId="0">
      <text>
        <t>Q1 2026A; unaudited; consolidated reported basis.</t>
      </text>
    </comment>
    <comment ref="C41" authorId="0" shapeId="0">
      <text>
        <t>FY2023A; comparative unaudited; consolidated reported basis.</t>
      </text>
    </comment>
    <comment ref="D41" authorId="0" shapeId="0">
      <text>
        <t>FY2024A; audited; consolidated reported basis.</t>
      </text>
    </comment>
    <comment ref="E41" authorId="0" shapeId="0">
      <text>
        <t>FY2025A; audited; consolidated reported basis.</t>
      </text>
    </comment>
    <comment ref="F41" authorId="0" shapeId="0">
      <text>
        <t>Q1 2026A; unaudited; consolidated reported basis.</t>
      </text>
    </comment>
    <comment ref="C42" authorId="0" shapeId="0">
      <text>
        <t>FY2023A; comparative unaudited; consolidated reported basis.</t>
      </text>
    </comment>
    <comment ref="D42" authorId="0" shapeId="0">
      <text>
        <t>FY2024A; audited; consolidated reported basis.</t>
      </text>
    </comment>
    <comment ref="E42" authorId="0" shapeId="0">
      <text>
        <t>FY2025A; audited; consolidated reported basis.</t>
      </text>
    </comment>
    <comment ref="F42" authorId="0" shapeId="0">
      <text>
        <t>Q1 2026A; unaudited; consolidated reported basis.</t>
      </text>
    </comment>
    <comment ref="C46" authorId="0" shapeId="0">
      <text>
        <t>FY2023A; comparative unaudited; consolidated reported basis.</t>
      </text>
    </comment>
    <comment ref="D46" authorId="0" shapeId="0">
      <text>
        <t>FY2024A; audited; consolidated reported basis.</t>
      </text>
    </comment>
    <comment ref="E46" authorId="0" shapeId="0">
      <text>
        <t>FY2025A; audited; consolidated reported basis.</t>
      </text>
    </comment>
    <comment ref="F46" authorId="0" shapeId="0">
      <text>
        <t>Q1 2026A; unaudited; consolidated reported basis.</t>
      </text>
    </comment>
  </commentList>
</comments>
</file>

<file path=xl/comments/comment2.xml><?xml version="1.0" encoding="utf-8"?>
<comments xmlns="http://schemas.openxmlformats.org/spreadsheetml/2006/main">
  <authors>
    <author>MWG-DMX portfolio model</author>
  </authors>
  <commentList>
    <comment ref="H11" authorId="0" shapeId="0">
      <text>
        <t>Active Annual adjustment to management revenue growth. Status: Illustrative. Applied to the growth rate, not directly to revenue output</t>
      </text>
    </comment>
    <comment ref="H12" authorId="0" shapeId="0">
      <text>
        <t>Active EBIT margin in 2026E. Status: Illustrative. FCFF EBIT is independent from company NPAT outlook</t>
      </text>
    </comment>
    <comment ref="H13" authorId="0" shapeId="0">
      <text>
        <t>Active Annual EBIT margin step. Status: Illustrative. Linear step from the 2026E margin</t>
      </text>
    </comment>
    <comment ref="H14" authorId="0" shapeId="0">
      <text>
        <t>Active Cash tax rate. Status: Illustrative. Vietnam corporate-tax simplification; replace with modelled cash tax</t>
      </text>
    </comment>
    <comment ref="H15" authorId="0" shapeId="0">
      <text>
        <t>Active D&amp;A as % of revenue. Status: Illustrative. Required to bridge EBIT to FCFF</t>
      </text>
    </comment>
    <comment ref="H16" authorId="0" shapeId="0">
      <text>
        <t>Active Capex as % of revenue. Status: Illustrative. Maintenance and growth capex combined</t>
      </text>
    </comment>
    <comment ref="H17" authorId="0" shapeId="0">
      <text>
        <t>Active Cash investment in NWC as % of revenue increase. Status: Illustrative. Positive value is a cash outflow</t>
      </text>
    </comment>
    <comment ref="H18" authorId="0" shapeId="0">
      <text>
        <t>Active Nominal VND WACC. Status: Illustrative. Market inputs are not populated; sensitivity is mandatory</t>
      </text>
    </comment>
    <comment ref="H19" authorId="0" shapeId="0">
      <text>
        <t>Active Terminal growth. Status: Illustrative. Must remain below WACC</t>
      </text>
    </comment>
    <comment ref="H20" authorId="0" shapeId="0">
      <text>
        <t>Active Fair value of DMX stake in EraBlue. Status: Illustrative. Added once because FCFF EBIT excludes JV earnings</t>
      </text>
    </comment>
    <comment ref="H21" authorId="0" shapeId="0">
      <text>
        <t>Active Lease liabilities in equity bridge. Status: Illustrative placeholder. Replace after verifying the chosen lease convention</t>
      </text>
    </comment>
    <comment ref="H22" authorId="0" shapeId="0">
      <text>
        <t>Active Other claims in equity bridge. Status: Illustrative placeholder. No unsupported claim is inserted</t>
      </text>
    </comment>
    <comment ref="H23" authorId="0" shapeId="0">
      <text>
        <t>Active MWG effective ownership of DMX. Status: Illustrative proxy. Rounded disclosure only; exact shares required for production</t>
      </text>
    </comment>
    <comment ref="H24" authorId="0" shapeId="0">
      <text>
        <t>Active BHX reference revenue. Status: Illustrative. Portfolio model placeholder</t>
      </text>
    </comment>
    <comment ref="H25" authorId="0" shapeId="0">
      <text>
        <t>Active BHX EV / Sales. Status: Illustrative. Comparable analysis not yet populated</t>
      </text>
    </comment>
    <comment ref="H26" authorId="0" shapeId="0">
      <text>
        <t>Active BHX net debt. Status: Illustrative. Subsidiary-level bridge only</t>
      </text>
    </comment>
    <comment ref="H27" authorId="0" shapeId="0">
      <text>
        <t>Active MWG ownership of BHX. Status: Illustrative. Replace with exact effective ownership</t>
      </text>
    </comment>
    <comment ref="H28" authorId="0" shapeId="0">
      <text>
        <t>Active An Khang reference revenue. Status: Illustrative. Portfolio model placeholder</t>
      </text>
    </comment>
    <comment ref="H29" authorId="0" shapeId="0">
      <text>
        <t>Active An Khang EV / Sales. Status: Illustrative. Loss-making / early-stage range</t>
      </text>
    </comment>
    <comment ref="H30" authorId="0" shapeId="0">
      <text>
        <t>Active An Khang net debt. Status: Illustrative. Subsidiary-level bridge only</t>
      </text>
    </comment>
    <comment ref="H31" authorId="0" shapeId="0">
      <text>
        <t>Active MWG ownership of An Khang. Status: Illustrative. Replace with exact effective ownership</t>
      </text>
    </comment>
    <comment ref="H32" authorId="0" shapeId="0">
      <text>
        <t>Active AVAKids reference revenue. Status: Illustrative. Portfolio model placeholder</t>
      </text>
    </comment>
    <comment ref="H33" authorId="0" shapeId="0">
      <text>
        <t>Active AVAKids EV / Sales. Status: Illustrative. Early-stage range</t>
      </text>
    </comment>
    <comment ref="H34" authorId="0" shapeId="0">
      <text>
        <t>Active AVAKids net debt. Status: Illustrative. Subsidiary-level bridge only</t>
      </text>
    </comment>
    <comment ref="H35" authorId="0" shapeId="0">
      <text>
        <t>Active MWG ownership of AVAKids. Status: Illustrative. Replace with exact effective ownership</t>
      </text>
    </comment>
    <comment ref="H36" authorId="0" shapeId="0">
      <text>
        <t>Active Other investments. Status: Illustrative. Equity value, no separate net-debt adjustment</t>
      </text>
    </comment>
    <comment ref="H37" authorId="0" shapeId="0">
      <text>
        <t>Active Parent non-operating assets. Status: Illustrative placeholder. Avoids unsupported double count</t>
      </text>
    </comment>
    <comment ref="H38" authorId="0" shapeId="0">
      <text>
        <t>Active Parent-only net debt. Status: Illustrative. Must not use consolidated debt after valuing subs at equity</t>
      </text>
    </comment>
    <comment ref="H39" authorId="0" shapeId="0">
      <text>
        <t>Active Parent provisions / other claims. Status: Illustrative. Separate parent claims</t>
      </text>
    </comment>
    <comment ref="H40" authorId="0" shapeId="0">
      <text>
        <t>Active Holding-company discount. Status: Illustrative. Sensitivity, not a plug to a target price</t>
      </text>
    </comment>
    <comment ref="H41" authorId="0" shapeId="0">
      <text>
        <t>Active MWG diluted shares. Status: Illustrative placeholder. Replace with verified diluted shares at valuation date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11</col>
      <colOff>0</colOff>
      <row>6</row>
      <rowOff>0</rowOff>
    </from>
    <ext cx="486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8</row>
      <rowOff>0</rowOff>
    </from>
    <ext cx="5220000" cy="262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18</row>
      <rowOff>0</rowOff>
    </from>
    <ext cx="558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ources'!A1" TargetMode="External" Id="rId1"/><Relationship Type="http://schemas.openxmlformats.org/officeDocument/2006/relationships/hyperlink" Target="#'IPO_Bridge'!A1" TargetMode="External" Id="rId2"/><Relationship Type="http://schemas.openxmlformats.org/officeDocument/2006/relationships/hyperlink" Target="#'Q1_Actuals'!A1" TargetMode="External" Id="rId3"/><Relationship Type="http://schemas.openxmlformats.org/officeDocument/2006/relationships/hyperlink" Target="#'3Y_Statements'!A1" TargetMode="External" Id="rId4"/><Relationship Type="http://schemas.openxmlformats.org/officeDocument/2006/relationships/hyperlink" Target="#'3S_Bridges'!A1" TargetMode="External" Id="rId5"/><Relationship Type="http://schemas.openxmlformats.org/officeDocument/2006/relationships/hyperlink" Target="#'WC_QoE'!A1" TargetMode="External" Id="rId6"/><Relationship Type="http://schemas.openxmlformats.org/officeDocument/2006/relationships/hyperlink" Target="#'Mgmt_Forecast'!A1" TargetMode="External" Id="rId7"/><Relationship Type="http://schemas.openxmlformats.org/officeDocument/2006/relationships/hyperlink" Target="#'Assumptions'!A1" TargetMode="External" Id="rId8"/><Relationship Type="http://schemas.openxmlformats.org/officeDocument/2006/relationships/hyperlink" Target="#'DMX_Valuation'!A1" TargetMode="External" Id="rId9"/><Relationship Type="http://schemas.openxmlformats.org/officeDocument/2006/relationships/hyperlink" Target="#'MWG_SOTP'!A1" TargetMode="External" Id="rId10"/><Relationship Type="http://schemas.openxmlformats.org/officeDocument/2006/relationships/hyperlink" Target="#'Scenarios'!A1" TargetMode="External" Id="rId11"/><Relationship Type="http://schemas.openxmlformats.org/officeDocument/2006/relationships/hyperlink" Target="#'Checks'!A1" TargetMode="External" Id="rId12"/></Relationships>
</file>

<file path=xl/worksheets/_rels/sheet2.xml.rels><Relationships xmlns="http://schemas.openxmlformats.org/package/2006/relationships"><Relationship Type="http://schemas.openxmlformats.org/officeDocument/2006/relationships/hyperlink" Target="https://cdnv2-tmdt.tgdd.vn/mwgvn/investorrelations/files/posts/2026/5/5005818/d8/6b/d86b5d707c2c0b5baea9dbcffafaaa50.pdf" TargetMode="External" Id="rId1"/><Relationship Type="http://schemas.openxmlformats.org/officeDocument/2006/relationships/hyperlink" Target="https://cdnv2-tmdt.tgdd.vn/mwgvn/investorrelations/files/posts/2026/7/0/f1/08/f108ca2a7399d9a70674915a4b2cf651.pdf" TargetMode="External" Id="rId2"/><Relationship Type="http://schemas.openxmlformats.org/officeDocument/2006/relationships/hyperlink" Target="https://www.dmx.vn/eng/news/dien-may-xanh-completes-landmark-ipo-raising-more-than-vnd-13-315-billion-and-lifting-charter-capital-to-vnd-12-677-billion-5002485" TargetMode="External" Id="rId3"/><Relationship Type="http://schemas.openxmlformats.org/officeDocument/2006/relationships/hyperlink" Target="https://cdnv2-tmdt.tgdd.vn/mwgvn/investorrelations/files/posts/2026/7/0/38/65/38651afbcd5d099f0e968015b88da8ee.pdf" TargetMode="External" Id="rId4"/><Relationship Type="http://schemas.openxmlformats.org/officeDocument/2006/relationships/hyperlink" Target="https://cdnv2-tmdt.tgdd.vn/mwgvn/investorrelations/files/posts/2026/5/0/93/e5/93e558113d3fa242567df336db5e4af6.pdf" TargetMode="External" Id="rId5"/><Relationship Type="http://schemas.openxmlformats.org/officeDocument/2006/relationships/hyperlink" Target="https://cdnv2-tmdt.tgdd.vn/mwgvn/investorrelations/files/posts/2026/5/0/08/af/08af79013e9b9bdb210eb476e2fa7b95.pdf" TargetMode="External" Id="rId6"/><Relationship Type="http://schemas.openxmlformats.org/officeDocument/2006/relationships/hyperlink" Target="https://cdnv2-tmdt.tgdd.vn/mwgvn/investorrelations/files/posts/2026/6/0/6b/e5/6be50a510e272451464dae07771401ca.xlsx" TargetMode="External" Id="rId7"/><Relationship Type="http://schemas.openxmlformats.org/officeDocument/2006/relationships/hyperlink" Target="https://cdnv2-tmdt.tgdd.vn/mwgvn/investorrelations/files/posts/2026/7/5006021/b5/ee/b5ee17c283b469b12b3b435d00da8aa4.pdf" TargetMode="External" Id="rId8"/><Relationship Type="http://schemas.openxmlformats.org/officeDocument/2006/relationships/hyperlink" Target="https://cdnv2-tmdt.tgdd.vn/mwgvn/investorrelations/files/posts/2026/6/5005889/4a/f4/4af4a4152a74661a28063a23b4d6747f.pdf" TargetMode="External" Id="rId9"/><Relationship Type="http://schemas.openxmlformats.org/officeDocument/2006/relationships/hyperlink" Target="https://cdnv2.tgdd.vn/mwgvn/investorrelations/files/posts/2026/3/5677/48/8a/488ab752e1224bcbd9dd5413be04179f.pdf" TargetMode="External" Id="rId10"/><Relationship Type="http://schemas.openxmlformats.org/officeDocument/2006/relationships/hyperlink" Target="https://mwg.vn/tin-tuc/erablue-buoc-chuyen-minh-cua-the-gioi-di-dong-o-quoc-gia-dong-dan-nhat-asean-179" TargetMode="External" Id="rId11"/></Relationships>
</file>

<file path=xl/worksheets/_rels/sheet4.xml.rels><Relationships xmlns="http://schemas.openxmlformats.org/package/2006/relationships"><Relationship Type="http://schemas.openxmlformats.org/officeDocument/2006/relationships/hyperlink" Target="#'Cover'!B2"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0B1F3A"/>
    <outlinePr summaryBelow="1" summaryRight="1"/>
    <pageSetUpPr fitToPage="1"/>
  </sheetPr>
  <dimension ref="A2:J44"/>
  <sheetViews>
    <sheetView showGridLines="0" zoomScale="95" workbookViewId="0">
      <selection activeCell="A1" sqref="A1"/>
    </sheetView>
  </sheetViews>
  <sheetFormatPr baseColWidth="8" defaultRowHeight="15"/>
  <cols>
    <col width="4" customWidth="1" min="1" max="1"/>
    <col width="23" customWidth="1" min="2" max="2"/>
    <col width="20" customWidth="1" min="3" max="3"/>
    <col width="18" customWidth="1" min="4" max="4"/>
    <col width="4" customWidth="1" min="5" max="5"/>
    <col width="4" customWidth="1" min="6" max="6"/>
    <col width="24" customWidth="1" min="7" max="7"/>
    <col width="24" customWidth="1" min="8" max="8"/>
    <col width="22" customWidth="1" min="9" max="9"/>
    <col width="22" customWidth="1" min="10" max="10"/>
  </cols>
  <sheetData>
    <row r="2" ht="34" customHeight="1">
      <c r="A2" s="1" t="n"/>
      <c r="B2" s="2" t="inlineStr">
        <is>
          <t>MWG AFTER THE DMX IPO</t>
        </is>
      </c>
      <c r="J2" s="1" t="n"/>
    </row>
    <row r="3" ht="28" customHeight="1">
      <c r="A3" s="1" t="n"/>
      <c r="J3" s="1" t="n"/>
    </row>
    <row r="4">
      <c r="A4" s="1" t="n"/>
      <c r="B4" s="3" t="inlineStr">
        <is>
          <t>Three-statement history · IPO bridge · DMX FCFF DCF · MWG SOTP · scenario &amp; QA model</t>
        </is>
      </c>
      <c r="J4" s="4" t="n"/>
    </row>
    <row r="5">
      <c r="A5" s="1" t="n"/>
      <c r="J5" s="4" t="n"/>
    </row>
    <row r="8" ht="21" customHeight="1">
      <c r="B8" s="5" t="inlineStr">
        <is>
          <t>MODEL CONTROL &amp; PUBLICATION STATUS</t>
        </is>
      </c>
    </row>
    <row r="9" ht="22" customHeight="1">
      <c r="B9" s="6" t="inlineStr">
        <is>
          <t>Model version</t>
        </is>
      </c>
      <c r="C9" s="7" t="inlineStr">
        <is>
          <t>2.0.0</t>
        </is>
      </c>
      <c r="G9" s="8" t="inlineStr">
        <is>
          <t>Formula and workbook architecture version</t>
        </is>
      </c>
    </row>
    <row r="10" ht="22" customHeight="1">
      <c r="B10" s="6" t="inlineStr">
        <is>
          <t>Data cut-off</t>
        </is>
      </c>
      <c r="C10" s="9" t="n">
        <v>46216</v>
      </c>
      <c r="G10" s="8" t="inlineStr">
        <is>
          <t>Official facts known at this date</t>
        </is>
      </c>
    </row>
    <row r="11" ht="22" customHeight="1">
      <c r="B11" s="6" t="inlineStr">
        <is>
          <t>Generated at</t>
        </is>
      </c>
      <c r="C11" s="9" t="n">
        <v>46216.91675925926</v>
      </c>
      <c r="G11" s="8" t="inlineStr">
        <is>
          <t>Local build timestamp</t>
        </is>
      </c>
    </row>
    <row r="12" ht="22" customHeight="1">
      <c r="B12" s="6" t="inlineStr">
        <is>
          <t>Active scenario</t>
        </is>
      </c>
      <c r="C12" s="10">
        <f>Assumptions!$C$4</f>
        <v/>
      </c>
      <c r="G12" s="8" t="inlineStr">
        <is>
          <t>Bear / Base / Bull selector</t>
        </is>
      </c>
    </row>
    <row r="13" ht="22" customHeight="1">
      <c r="B13" s="6" t="inlineStr">
        <is>
          <t>Display unit</t>
        </is>
      </c>
      <c r="C13" s="7" t="inlineStr">
        <is>
          <t>VND bn unless stated</t>
        </is>
      </c>
      <c r="G13" s="8" t="inlineStr">
        <is>
          <t>Share count in million; price in VND/share</t>
        </is>
      </c>
    </row>
    <row r="14" ht="22" customHeight="1">
      <c r="B14" s="6" t="inlineStr">
        <is>
          <t>Valuation date</t>
        </is>
      </c>
      <c r="C14" s="7" t="inlineStr">
        <is>
          <t>N/A</t>
        </is>
      </c>
      <c r="G14" s="8" t="inlineStr">
        <is>
          <t>No same-date market price supplied</t>
        </is>
      </c>
    </row>
    <row r="15" ht="22" customHeight="1">
      <c r="B15" s="6" t="inlineStr">
        <is>
          <t>Market conclusion</t>
        </is>
      </c>
      <c r="C15" s="11" t="inlineStr">
        <is>
          <t>UNAVAILABLE</t>
        </is>
      </c>
      <c r="G15" s="8" t="inlineStr">
        <is>
          <t>Guarded until price, price date and diluted shares are verified</t>
        </is>
      </c>
    </row>
    <row r="18" ht="21" customHeight="1">
      <c r="B18" s="5" t="inlineStr">
        <is>
          <t>WHAT THIS MODEL ANSWERS</t>
        </is>
      </c>
    </row>
    <row r="19" ht="24" customHeight="1">
      <c r="B19" s="12" t="inlineStr">
        <is>
          <t>1. How did the actual IPO change DMX shares and primary capital raised?</t>
        </is>
      </c>
    </row>
    <row r="20" ht="24" customHeight="1">
      <c r="B20" s="13" t="inlineStr">
        <is>
          <t>2. What does an illustrative FCFF DCF imply for 100% of DMX under transparent drivers?</t>
        </is>
      </c>
    </row>
    <row r="21" ht="24" customHeight="1">
      <c r="B21" s="12" t="inlineStr">
        <is>
          <t>3. How much of DMX's value is attributable to MWG using an explicitly labelled ownership proxy?</t>
        </is>
      </c>
    </row>
    <row r="22" ht="24" customHeight="1">
      <c r="B22" s="13" t="inlineStr">
        <is>
          <t>4. What illustrative residual value is assigned to BHX and other MWG assets in a SOTP?</t>
        </is>
      </c>
    </row>
    <row r="23" ht="24" customHeight="1">
      <c r="B23" s="12" t="inlineStr">
        <is>
          <t>5. Which assumptions drive the range, and which QA gates prevent an unsupported conclusion?</t>
        </is>
      </c>
    </row>
    <row r="24" ht="24" customHeight="1">
      <c r="B24" s="13" t="inlineStr">
        <is>
          <t>6. Do earnings, working capital, cash and retained earnings reconcile across the three statements?</t>
        </is>
      </c>
    </row>
    <row r="26" ht="21" customHeight="1">
      <c r="B26" s="5" t="inlineStr">
        <is>
          <t>WORKBOOK MAP</t>
        </is>
      </c>
    </row>
    <row r="27" ht="30" customHeight="1">
      <c r="B27" s="14" t="inlineStr">
        <is>
          <t>Tab</t>
        </is>
      </c>
      <c r="C27" s="14" t="inlineStr">
        <is>
          <t>Purpose</t>
        </is>
      </c>
      <c r="D27" s="14" t="n"/>
      <c r="E27" s="14" t="n"/>
      <c r="F27" s="14" t="n"/>
      <c r="G27" s="14" t="inlineStr">
        <is>
          <t>Primary status</t>
        </is>
      </c>
      <c r="H27" s="14" t="n"/>
      <c r="I27" s="14" t="inlineStr">
        <is>
          <t>Reviewer focus</t>
        </is>
      </c>
      <c r="J27" s="14" t="n"/>
    </row>
    <row r="28" ht="28" customHeight="1">
      <c r="B28" s="15" t="inlineStr">
        <is>
          <t>Sources</t>
        </is>
      </c>
      <c r="C28" s="16" t="inlineStr">
        <is>
          <t>Official source registry and URLs</t>
        </is>
      </c>
      <c r="D28" s="16" t="n"/>
      <c r="E28" s="16" t="n"/>
      <c r="F28" s="16" t="n"/>
      <c r="G28" s="16" t="inlineStr">
        <is>
          <t>Official metadata</t>
        </is>
      </c>
      <c r="H28" s="16" t="n"/>
      <c r="I28" s="16" t="inlineStr">
        <is>
          <t>Provenance</t>
        </is>
      </c>
      <c r="J28" s="16" t="n"/>
    </row>
    <row r="29" ht="28" customHeight="1">
      <c r="B29" s="17" t="inlineStr">
        <is>
          <t>IPO_Bridge</t>
        </is>
      </c>
      <c r="C29" s="18" t="inlineStr">
        <is>
          <t>Planned versus actual primary issuance</t>
        </is>
      </c>
      <c r="D29" s="18" t="n"/>
      <c r="E29" s="18" t="n"/>
      <c r="F29" s="18" t="n"/>
      <c r="G29" s="18" t="inlineStr">
        <is>
          <t>Actual + planned</t>
        </is>
      </c>
      <c r="H29" s="18" t="n"/>
      <c r="I29" s="18" t="inlineStr">
        <is>
          <t>Shares/proceeds identity</t>
        </is>
      </c>
      <c r="J29" s="18" t="n"/>
    </row>
    <row r="30" ht="28" customHeight="1">
      <c r="B30" s="15" t="inlineStr">
        <is>
          <t>Q1_Actuals</t>
        </is>
      </c>
      <c r="C30" s="16" t="inlineStr">
        <is>
          <t>Key consolidated statements and ratios</t>
        </is>
      </c>
      <c r="D30" s="16" t="n"/>
      <c r="E30" s="16" t="n"/>
      <c r="F30" s="16" t="n"/>
      <c r="G30" s="16" t="inlineStr">
        <is>
          <t>Actual</t>
        </is>
      </c>
      <c r="H30" s="16" t="n"/>
      <c r="I30" s="16" t="inlineStr">
        <is>
          <t>Statement/cash checks</t>
        </is>
      </c>
      <c r="J30" s="16" t="n"/>
    </row>
    <row r="31" ht="28" customHeight="1">
      <c r="B31" s="17" t="inlineStr">
        <is>
          <t>3Y_Statements</t>
        </is>
      </c>
      <c r="C31" s="18" t="inlineStr">
        <is>
          <t>FY2023–FY2025 plus Q1 2026 three-statement history</t>
        </is>
      </c>
      <c r="D31" s="18" t="n"/>
      <c r="E31" s="18" t="n"/>
      <c r="F31" s="18" t="n"/>
      <c r="G31" s="18" t="inlineStr">
        <is>
          <t>Reported actuals</t>
        </is>
      </c>
      <c r="H31" s="18" t="n"/>
      <c r="I31" s="18" t="inlineStr">
        <is>
          <t>Trend and scope</t>
        </is>
      </c>
      <c r="J31" s="18" t="n"/>
    </row>
    <row r="32" ht="28" customHeight="1">
      <c r="B32" s="15" t="inlineStr">
        <is>
          <t>3S_Bridges</t>
        </is>
      </c>
      <c r="C32" s="16" t="inlineStr">
        <is>
          <t>NPAT-to-CFO, cash, retained earnings and normalization</t>
        </is>
      </c>
      <c r="D32" s="16" t="n"/>
      <c r="E32" s="16" t="n"/>
      <c r="F32" s="16" t="n"/>
      <c r="G32" s="16" t="inlineStr">
        <is>
          <t>Actual + management LFL</t>
        </is>
      </c>
      <c r="H32" s="16" t="n"/>
      <c r="I32" s="16" t="inlineStr">
        <is>
          <t>Accounting linkage</t>
        </is>
      </c>
      <c r="J32" s="16" t="n"/>
    </row>
    <row r="33" ht="28" customHeight="1">
      <c r="B33" s="17" t="inlineStr">
        <is>
          <t>WC_QoE</t>
        </is>
      </c>
      <c r="C33" s="18" t="inlineStr">
        <is>
          <t>Working-capital days and quality-of-earnings matrix</t>
        </is>
      </c>
      <c r="D33" s="18" t="n"/>
      <c r="E33" s="18" t="n"/>
      <c r="F33" s="18" t="n"/>
      <c r="G33" s="18" t="inlineStr">
        <is>
          <t>Calculated</t>
        </is>
      </c>
      <c r="H33" s="18" t="n"/>
      <c r="I33" s="18" t="inlineStr">
        <is>
          <t>Cash conversion risk</t>
        </is>
      </c>
      <c r="J33" s="18" t="n"/>
    </row>
    <row r="34" ht="28" customHeight="1">
      <c r="B34" s="15" t="inlineStr">
        <is>
          <t>Mgmt_Forecast</t>
        </is>
      </c>
      <c r="C34" s="16" t="inlineStr">
        <is>
          <t>2025 actual and 2026–2030 company outlook</t>
        </is>
      </c>
      <c r="D34" s="16" t="n"/>
      <c r="E34" s="16" t="n"/>
      <c r="F34" s="16" t="n"/>
      <c r="G34" s="16" t="inlineStr">
        <is>
          <t>Actual / company outlook</t>
        </is>
      </c>
      <c r="H34" s="16" t="n"/>
      <c r="I34" s="16" t="inlineStr">
        <is>
          <t>No relabelling as analyst forecast</t>
        </is>
      </c>
      <c r="J34" s="16" t="n"/>
    </row>
    <row r="35" ht="28" customHeight="1">
      <c r="B35" s="17" t="inlineStr">
        <is>
          <t>Assumptions</t>
        </is>
      </c>
      <c r="C35" s="18" t="inlineStr">
        <is>
          <t>Editable Bear/Base/Bull inputs</t>
        </is>
      </c>
      <c r="D35" s="18" t="n"/>
      <c r="E35" s="18" t="n"/>
      <c r="F35" s="18" t="n"/>
      <c r="G35" s="18" t="inlineStr">
        <is>
          <t>Illustrative</t>
        </is>
      </c>
      <c r="H35" s="18" t="n"/>
      <c r="I35" s="18" t="inlineStr">
        <is>
          <t>Replace before investment use</t>
        </is>
      </c>
      <c r="J35" s="18" t="n"/>
    </row>
    <row r="36" ht="28" customHeight="1">
      <c r="B36" s="15" t="inlineStr">
        <is>
          <t>DMX_Valuation</t>
        </is>
      </c>
      <c r="C36" s="16" t="inlineStr">
        <is>
          <t>Driver-based FCFF DCF and equity bridge</t>
        </is>
      </c>
      <c r="D36" s="16" t="n"/>
      <c r="E36" s="16" t="n"/>
      <c r="F36" s="16" t="n"/>
      <c r="G36" s="16" t="inlineStr">
        <is>
          <t>Illustrative forecast</t>
        </is>
      </c>
      <c r="H36" s="16" t="n"/>
      <c r="I36" s="16" t="inlineStr">
        <is>
          <t>WACC, TV, double count</t>
        </is>
      </c>
      <c r="J36" s="16" t="n"/>
    </row>
    <row r="37" ht="28" customHeight="1">
      <c r="B37" s="17" t="inlineStr">
        <is>
          <t>MWG_SOTP</t>
        </is>
      </c>
      <c r="C37" s="18" t="inlineStr">
        <is>
          <t>Equity-level SOTP and holdco discount</t>
        </is>
      </c>
      <c r="D37" s="18" t="n"/>
      <c r="E37" s="18" t="n"/>
      <c r="F37" s="18" t="n"/>
      <c r="G37" s="18" t="inlineStr">
        <is>
          <t>Illustrative</t>
        </is>
      </c>
      <c r="H37" s="18" t="n"/>
      <c r="I37" s="18" t="inlineStr">
        <is>
          <t>Ownership and perimeter</t>
        </is>
      </c>
      <c r="J37" s="18" t="n"/>
    </row>
    <row r="38" ht="28" customHeight="1">
      <c r="B38" s="15" t="inlineStr">
        <is>
          <t>Scenarios</t>
        </is>
      </c>
      <c r="C38" s="16" t="inlineStr">
        <is>
          <t>Independent scenario calculations and sensitivities</t>
        </is>
      </c>
      <c r="D38" s="16" t="n"/>
      <c r="E38" s="16" t="n"/>
      <c r="F38" s="16" t="n"/>
      <c r="G38" s="16" t="inlineStr">
        <is>
          <t>Illustrative</t>
        </is>
      </c>
      <c r="H38" s="16" t="n"/>
      <c r="I38" s="16" t="inlineStr">
        <is>
          <t>Range, not target price</t>
        </is>
      </c>
      <c r="J38" s="16" t="n"/>
    </row>
    <row r="39" ht="28" customHeight="1">
      <c r="B39" s="17" t="inlineStr">
        <is>
          <t>Checks</t>
        </is>
      </c>
      <c r="C39" s="18" t="inlineStr">
        <is>
          <t>Critical QA and publication gates</t>
        </is>
      </c>
      <c r="D39" s="18" t="n"/>
      <c r="E39" s="18" t="n"/>
      <c r="F39" s="18" t="n"/>
      <c r="G39" s="18" t="inlineStr">
        <is>
          <t>Control</t>
        </is>
      </c>
      <c r="H39" s="18" t="n"/>
      <c r="I39" s="18" t="inlineStr">
        <is>
          <t>PASS/FAIL/WARN</t>
        </is>
      </c>
      <c r="J39" s="18" t="n"/>
    </row>
    <row r="42">
      <c r="B42" s="19" t="inlineStr">
        <is>
          <t>DISCLAIMER — Portfolio case study only. Not investment research, a recommendation, or an offer to buy/sell securities. Official facts remain subject to source documents. Management outlook is not a guarantee. All yellow/blue inputs are illustrative analyst assumptions. No market upside/downside is shown because same-date price inputs are absent.</t>
        </is>
      </c>
    </row>
    <row r="43"/>
    <row r="44"/>
  </sheetData>
  <mergeCells count="65">
    <mergeCell ref="I30:J30"/>
    <mergeCell ref="I34:J34"/>
    <mergeCell ref="C39:F39"/>
    <mergeCell ref="B42:J44"/>
    <mergeCell ref="G27:H27"/>
    <mergeCell ref="C9:E9"/>
    <mergeCell ref="B23:J23"/>
    <mergeCell ref="I27:J27"/>
    <mergeCell ref="G36:H36"/>
    <mergeCell ref="B8:J8"/>
    <mergeCell ref="C38:F38"/>
    <mergeCell ref="I36:J36"/>
    <mergeCell ref="C32:F32"/>
    <mergeCell ref="B4:J5"/>
    <mergeCell ref="C37:F37"/>
    <mergeCell ref="C12:E12"/>
    <mergeCell ref="C28:F28"/>
    <mergeCell ref="G39:H39"/>
    <mergeCell ref="G9:J9"/>
    <mergeCell ref="C11:E11"/>
    <mergeCell ref="B19:J19"/>
    <mergeCell ref="G38:H38"/>
    <mergeCell ref="I32:J32"/>
    <mergeCell ref="C34:F34"/>
    <mergeCell ref="G12:J12"/>
    <mergeCell ref="C30:F30"/>
    <mergeCell ref="G37:H37"/>
    <mergeCell ref="G28:H28"/>
    <mergeCell ref="C33:F33"/>
    <mergeCell ref="I37:J37"/>
    <mergeCell ref="I28:J28"/>
    <mergeCell ref="G11:J11"/>
    <mergeCell ref="B24:J24"/>
    <mergeCell ref="B2:J3"/>
    <mergeCell ref="G34:H34"/>
    <mergeCell ref="B20:J20"/>
    <mergeCell ref="C13:E13"/>
    <mergeCell ref="G30:H30"/>
    <mergeCell ref="C35:F35"/>
    <mergeCell ref="G33:H33"/>
    <mergeCell ref="I33:J33"/>
    <mergeCell ref="C29:F29"/>
    <mergeCell ref="B26:J26"/>
    <mergeCell ref="I39:J39"/>
    <mergeCell ref="C15:E15"/>
    <mergeCell ref="G10:J10"/>
    <mergeCell ref="G29:H29"/>
    <mergeCell ref="G35:H35"/>
    <mergeCell ref="G13:J13"/>
    <mergeCell ref="C10:E10"/>
    <mergeCell ref="C14:E14"/>
    <mergeCell ref="I29:J29"/>
    <mergeCell ref="C31:F31"/>
    <mergeCell ref="I35:J35"/>
    <mergeCell ref="I38:J38"/>
    <mergeCell ref="G32:H32"/>
    <mergeCell ref="B22:J22"/>
    <mergeCell ref="B18:J18"/>
    <mergeCell ref="G31:H31"/>
    <mergeCell ref="G15:J15"/>
    <mergeCell ref="I31:J31"/>
    <mergeCell ref="C27:F27"/>
    <mergeCell ref="C36:F36"/>
    <mergeCell ref="B21:J21"/>
    <mergeCell ref="G14:J14"/>
  </mergeCells>
  <hyperlinks>
    <hyperlink xmlns:r="http://schemas.openxmlformats.org/officeDocument/2006/relationships" ref="B28" r:id="rId1"/>
    <hyperlink xmlns:r="http://schemas.openxmlformats.org/officeDocument/2006/relationships" ref="B29" r:id="rId2"/>
    <hyperlink xmlns:r="http://schemas.openxmlformats.org/officeDocument/2006/relationships" ref="B30" r:id="rId3"/>
    <hyperlink xmlns:r="http://schemas.openxmlformats.org/officeDocument/2006/relationships" ref="B31" r:id="rId4"/>
    <hyperlink xmlns:r="http://schemas.openxmlformats.org/officeDocument/2006/relationships" ref="B32" r:id="rId5"/>
    <hyperlink xmlns:r="http://schemas.openxmlformats.org/officeDocument/2006/relationships" ref="B33" r:id="rId6"/>
    <hyperlink xmlns:r="http://schemas.openxmlformats.org/officeDocument/2006/relationships" ref="B34" r:id="rId7"/>
    <hyperlink xmlns:r="http://schemas.openxmlformats.org/officeDocument/2006/relationships" ref="B35" r:id="rId8"/>
    <hyperlink xmlns:r="http://schemas.openxmlformats.org/officeDocument/2006/relationships" ref="B36" r:id="rId9"/>
    <hyperlink xmlns:r="http://schemas.openxmlformats.org/officeDocument/2006/relationships" ref="B37" r:id="rId10"/>
    <hyperlink xmlns:r="http://schemas.openxmlformats.org/officeDocument/2006/relationships" ref="B38" r:id="rId11"/>
    <hyperlink xmlns:r="http://schemas.openxmlformats.org/officeDocument/2006/relationships" ref="B39" r:id="rId12"/>
  </hyperlinks>
  <pageMargins left="0.75" right="0.75" top="1" bottom="1" header="0.5" footer="0.5"/>
  <pageSetup orientation="landscape" fitToHeight="1" fitToWidth="1"/>
  <headerFooter>
    <oddHeader/>
    <oddFooter>&amp;CMWG / DMX IPO SOTP — portfolio case study — not investment advice&amp;RPage &amp;P of &amp;N</oddFooter>
    <evenHeader/>
    <evenFooter/>
    <firstHeader/>
    <firstFooter/>
  </headerFooter>
</worksheet>
</file>

<file path=xl/worksheets/sheet2.xml><?xml version="1.0" encoding="utf-8"?>
<worksheet xmlns="http://schemas.openxmlformats.org/spreadsheetml/2006/main">
  <sheetPr>
    <tabColor rgb="0000A6A6"/>
    <outlinePr summaryBelow="1" summaryRight="1"/>
    <pageSetUpPr fitToPage="1"/>
  </sheetPr>
  <dimension ref="A1:M20"/>
  <sheetViews>
    <sheetView showGridLines="0" zoomScale="80" workbookViewId="0">
      <pane ySplit="4" topLeftCell="A5" activePane="bottomLeft" state="frozen"/>
      <selection pane="bottomLeft" activeCell="A1" sqref="A1"/>
    </sheetView>
  </sheetViews>
  <sheetFormatPr baseColWidth="8" defaultRowHeight="15"/>
  <cols>
    <col width="20" customWidth="1" min="1" max="1"/>
    <col width="10" customWidth="1" min="2" max="2"/>
    <col width="23" customWidth="1" min="3" max="3"/>
    <col width="43" customWidth="1" min="4" max="4"/>
    <col width="14" customWidth="1" min="5" max="5"/>
    <col width="14" customWidth="1" min="6" max="6"/>
    <col width="14" customWidth="1" min="7" max="7"/>
    <col width="15" customWidth="1" min="8" max="8"/>
    <col width="21" customWidth="1" min="9" max="9"/>
    <col width="55" customWidth="1" min="10" max="10"/>
    <col width="39" customWidth="1" min="11" max="11"/>
    <col width="37" customWidth="1" min="12" max="12"/>
    <col width="48" customWidth="1" min="13" max="13"/>
  </cols>
  <sheetData>
    <row r="1" ht="31" customHeight="1">
      <c r="A1" s="20" t="inlineStr">
        <is>
          <t>Source registry</t>
        </is>
      </c>
    </row>
    <row r="2" ht="23" customHeight="1">
      <c r="A2" s="21" t="inlineStr">
        <is>
          <t>Official issuer documents used in the model; retrieved 13-Jul-2026</t>
        </is>
      </c>
    </row>
    <row r="4" ht="30" customHeight="1">
      <c r="A4" s="14" t="inlineStr">
        <is>
          <t>Source ID</t>
        </is>
      </c>
      <c r="B4" s="14" t="inlineStr">
        <is>
          <t>Issuer</t>
        </is>
      </c>
      <c r="C4" s="14" t="inlineStr">
        <is>
          <t>Document type</t>
        </is>
      </c>
      <c r="D4" s="14" t="inlineStr">
        <is>
          <t>Title</t>
        </is>
      </c>
      <c r="E4" s="14" t="inlineStr">
        <is>
          <t>Period end</t>
        </is>
      </c>
      <c r="F4" s="14" t="inlineStr">
        <is>
          <t>Published</t>
        </is>
      </c>
      <c r="G4" s="14" t="inlineStr">
        <is>
          <t>Retrieved</t>
        </is>
      </c>
      <c r="H4" s="14" t="inlineStr">
        <is>
          <t>Audit status</t>
        </is>
      </c>
      <c r="I4" s="14" t="inlineStr">
        <is>
          <t>Scope</t>
        </is>
      </c>
      <c r="J4" s="14" t="inlineStr">
        <is>
          <t>Official URL</t>
        </is>
      </c>
      <c r="K4" s="14" t="inlineStr">
        <is>
          <t>Local artifact</t>
        </is>
      </c>
      <c r="L4" s="14" t="inlineStr">
        <is>
          <t>Model use</t>
        </is>
      </c>
      <c r="M4" s="14" t="inlineStr">
        <is>
          <t>Notes / limitations</t>
        </is>
      </c>
    </row>
    <row r="5" ht="54" customHeight="1">
      <c r="A5" s="22" t="inlineStr">
        <is>
          <t>DMX-IPO-SALESKIT</t>
        </is>
      </c>
      <c r="B5" s="22" t="inlineStr">
        <is>
          <t>DMX</t>
        </is>
      </c>
      <c r="C5" s="22" t="inlineStr">
        <is>
          <t>Investor presentation / sales kit</t>
        </is>
      </c>
      <c r="D5" s="22" t="inlineStr">
        <is>
          <t>DMX IPO sales kit</t>
        </is>
      </c>
      <c r="E5" s="23" t="n">
        <v>46022</v>
      </c>
      <c r="F5" s="23" t="n"/>
      <c r="G5" s="23" t="n">
        <v>46216</v>
      </c>
      <c r="H5" s="22" t="inlineStr">
        <is>
          <t>N/A</t>
        </is>
      </c>
      <c r="I5" s="22" t="inlineStr">
        <is>
          <t>Company presentation</t>
        </is>
      </c>
      <c r="J5" s="24" t="inlineStr">
        <is>
          <t>https://cdnv2-tmdt.tgdd.vn/mwgvn/investorrelations/files/posts/2026/5/5005818/d8/6b/d86b5d707c2c0b5baea9dbcffafaaa50.pdf</t>
        </is>
      </c>
      <c r="K5" s="22" t="inlineStr">
        <is>
          <t>data/raw/dmx/dmx_ipo_presentation_2026.pdf</t>
        </is>
      </c>
      <c r="L5" s="22" t="inlineStr">
        <is>
          <t>Planned IPO terms and management outlook</t>
        </is>
      </c>
      <c r="M5" s="22" t="inlineStr">
        <is>
          <t>Company-provided material; forecasts are not guarantees.</t>
        </is>
      </c>
    </row>
    <row r="6" ht="54" customHeight="1">
      <c r="A6" s="25" t="inlineStr">
        <is>
          <t>DMX-IPO-RES14</t>
        </is>
      </c>
      <c r="B6" s="25" t="inlineStr">
        <is>
          <t>DMX</t>
        </is>
      </c>
      <c r="C6" s="25" t="inlineStr">
        <is>
          <t>Board resolution / IPO result</t>
        </is>
      </c>
      <c r="D6" s="25" t="inlineStr">
        <is>
          <t>Resolution No. 14 on actual IPO result</t>
        </is>
      </c>
      <c r="E6" s="26" t="n"/>
      <c r="F6" s="26" t="n">
        <v>46203</v>
      </c>
      <c r="G6" s="26" t="n">
        <v>46216</v>
      </c>
      <c r="H6" s="25" t="inlineStr">
        <is>
          <t>N/A</t>
        </is>
      </c>
      <c r="I6" s="25" t="inlineStr">
        <is>
          <t>Issuer disclosure</t>
        </is>
      </c>
      <c r="J6" s="24" t="inlineStr">
        <is>
          <t>https://cdnv2-tmdt.tgdd.vn/mwgvn/investorrelations/files/posts/2026/7/0/f1/08/f108ca2a7399d9a70674915a4b2cf651.pdf</t>
        </is>
      </c>
      <c r="K6" s="25" t="inlineStr">
        <is>
          <t>N/A (source linked; raw files are git-ignored)</t>
        </is>
      </c>
      <c r="L6" s="25" t="inlineStr">
        <is>
          <t>Actual allocated/cancelled/post-IPO shares and proceeds</t>
        </is>
      </c>
      <c r="M6" s="25" t="inlineStr">
        <is>
          <t>Primary source for the actual IPO bridge.</t>
        </is>
      </c>
    </row>
    <row r="7" ht="54" customHeight="1">
      <c r="A7" s="22" t="inlineStr">
        <is>
          <t>DMX-IPO-COMPLETE</t>
        </is>
      </c>
      <c r="B7" s="22" t="inlineStr">
        <is>
          <t>DMX</t>
        </is>
      </c>
      <c r="C7" s="22" t="inlineStr">
        <is>
          <t>Issuer announcement</t>
        </is>
      </c>
      <c r="D7" s="22" t="inlineStr">
        <is>
          <t>DMX completes IPO and raises more than VND 13,315bn</t>
        </is>
      </c>
      <c r="E7" s="23" t="n"/>
      <c r="F7" s="23" t="n">
        <v>46203</v>
      </c>
      <c r="G7" s="23" t="n">
        <v>46216</v>
      </c>
      <c r="H7" s="22" t="inlineStr">
        <is>
          <t>N/A</t>
        </is>
      </c>
      <c r="I7" s="22" t="inlineStr">
        <is>
          <t>Issuer announcement</t>
        </is>
      </c>
      <c r="J7" s="24" t="inlineStr">
        <is>
          <t>https://www.dmx.vn/eng/news/dien-may-xanh-completes-landmark-ipo-raising-more-than-vnd-13-315-billion-and-lifting-charter-capital-to-vnd-12-677-billion-5002485</t>
        </is>
      </c>
      <c r="K7" s="22" t="inlineStr">
        <is>
          <t>N/A</t>
        </is>
      </c>
      <c r="L7" s="22" t="inlineStr">
        <is>
          <t>Rounded MWG ownership disclosure and transaction context</t>
        </is>
      </c>
      <c r="M7" s="22" t="inlineStr">
        <is>
          <t>'Nearly 86%' is a reasonableness check, not exact ownership.</t>
        </is>
      </c>
    </row>
    <row r="8" ht="54" customHeight="1">
      <c r="A8" s="25" t="inlineStr">
        <is>
          <t>DMX_IPO_PROCEEDS_2026</t>
        </is>
      </c>
      <c r="B8" s="25" t="inlineStr">
        <is>
          <t>DMX</t>
        </is>
      </c>
      <c r="C8" s="25" t="inlineStr">
        <is>
          <t>Board resolution / use of proceeds</t>
        </is>
      </c>
      <c r="D8" s="25" t="inlineStr">
        <is>
          <t>Resolution No. 15 on adjusted use of IPO proceeds</t>
        </is>
      </c>
      <c r="E8" s="26" t="n"/>
      <c r="F8" s="26" t="n">
        <v>46210</v>
      </c>
      <c r="G8" s="26" t="n">
        <v>46216</v>
      </c>
      <c r="H8" s="25" t="inlineStr">
        <is>
          <t>N/A</t>
        </is>
      </c>
      <c r="I8" s="25" t="inlineStr">
        <is>
          <t>Issuer disclosure</t>
        </is>
      </c>
      <c r="J8" s="24" t="inlineStr">
        <is>
          <t>https://cdnv2-tmdt.tgdd.vn/mwgvn/investorrelations/files/posts/2026/7/0/38/65/38651afbcd5d099f0e968015b88da8ee.pdf</t>
        </is>
      </c>
      <c r="K8" s="25" t="inlineStr">
        <is>
          <t>data/raw/dmx/dmx_ipo_proceeds_adjustment_2026.pdf</t>
        </is>
      </c>
      <c r="L8" s="25" t="inlineStr">
        <is>
          <t>Estimated issue costs, net proceeds and planned debt repayment</t>
        </is>
      </c>
      <c r="M8" s="25" t="inlineStr">
        <is>
          <t>Gross proceeds are actual; costs and net proceeds are issuer estimates. Debt repayment remains pro forma until actual disbursement is evidenced.</t>
        </is>
      </c>
    </row>
    <row r="9" ht="54" customHeight="1">
      <c r="A9" s="22" t="inlineStr">
        <is>
          <t>DMX_FS_2024_C</t>
        </is>
      </c>
      <c r="B9" s="22" t="inlineStr">
        <is>
          <t>DMX</t>
        </is>
      </c>
      <c r="C9" s="22" t="inlineStr">
        <is>
          <t>Audited consolidated financial statements</t>
        </is>
      </c>
      <c r="D9" s="22" t="inlineStr">
        <is>
          <t>DMX consolidated financial statements FY2024</t>
        </is>
      </c>
      <c r="E9" s="23" t="n">
        <v>45657</v>
      </c>
      <c r="F9" s="23" t="n">
        <v>46164</v>
      </c>
      <c r="G9" s="23" t="n">
        <v>46216</v>
      </c>
      <c r="H9" s="22" t="inlineStr">
        <is>
          <t>FY2024 audited; FY2023 comparative expressly unaudited</t>
        </is>
      </c>
      <c r="I9" s="22" t="inlineStr">
        <is>
          <t>Consolidated</t>
        </is>
      </c>
      <c r="J9" s="24" t="inlineStr">
        <is>
          <t>https://cdnv2-tmdt.tgdd.vn/mwgvn/investorrelations/files/posts/2026/5/0/93/e5/93e558113d3fa242567df336db5e4af6.pdf</t>
        </is>
      </c>
      <c r="K9" s="22" t="inlineStr">
        <is>
          <t>data/raw/dmx/dmx_fy2024_audited_consolidated.pdf</t>
        </is>
      </c>
      <c r="L9" s="22" t="inlineStr">
        <is>
          <t>FY2023 comparative and FY2024 historical statements</t>
        </is>
      </c>
      <c r="M9" s="22" t="inlineStr">
        <is>
          <t>Primary source for the three-statement history; FY2023 is not presented as audited.</t>
        </is>
      </c>
    </row>
    <row r="10" ht="54" customHeight="1">
      <c r="A10" s="25" t="inlineStr">
        <is>
          <t>DMX_FS_2025_C</t>
        </is>
      </c>
      <c r="B10" s="25" t="inlineStr">
        <is>
          <t>DMX</t>
        </is>
      </c>
      <c r="C10" s="25" t="inlineStr">
        <is>
          <t>Audited consolidated financial statements</t>
        </is>
      </c>
      <c r="D10" s="25" t="inlineStr">
        <is>
          <t>DMX consolidated financial statements FY2025</t>
        </is>
      </c>
      <c r="E10" s="26" t="n">
        <v>46022</v>
      </c>
      <c r="F10" s="26" t="n">
        <v>46164</v>
      </c>
      <c r="G10" s="26" t="n">
        <v>46216</v>
      </c>
      <c r="H10" s="25" t="inlineStr">
        <is>
          <t>Audited</t>
        </is>
      </c>
      <c r="I10" s="25" t="inlineStr">
        <is>
          <t>Consolidated</t>
        </is>
      </c>
      <c r="J10" s="24" t="inlineStr">
        <is>
          <t>https://cdnv2-tmdt.tgdd.vn/mwgvn/investorrelations/files/posts/2026/5/0/08/af/08af79013e9b9bdb210eb476e2fa7b95.pdf</t>
        </is>
      </c>
      <c r="K10" s="25" t="inlineStr">
        <is>
          <t>data/raw/dmx/dmx_fy2025_audited_consolidated.pdf</t>
        </is>
      </c>
      <c r="L10" s="25" t="inlineStr">
        <is>
          <t>FY2025 historical statements and FY2024 comparatives</t>
        </is>
      </c>
      <c r="M10" s="25" t="inlineStr">
        <is>
          <t>Primary audited source for FY2025 three-statement analysis.</t>
        </is>
      </c>
    </row>
    <row r="11" ht="54" customHeight="1">
      <c r="A11" s="22" t="inlineStr">
        <is>
          <t>DMX_DATA_2026Q1</t>
        </is>
      </c>
      <c r="B11" s="22" t="inlineStr">
        <is>
          <t>DMX</t>
        </is>
      </c>
      <c r="C11" s="22" t="inlineStr">
        <is>
          <t>Interim financial statements and data pack</t>
        </is>
      </c>
      <c r="D11" s="22" t="inlineStr">
        <is>
          <t>DMX Q1 2026 consolidated financial statements</t>
        </is>
      </c>
      <c r="E11" s="23" t="n">
        <v>46112</v>
      </c>
      <c r="F11" s="23" t="n"/>
      <c r="G11" s="23" t="n">
        <v>46216</v>
      </c>
      <c r="H11" s="22" t="inlineStr">
        <is>
          <t>Unaudited</t>
        </is>
      </c>
      <c r="I11" s="22" t="inlineStr">
        <is>
          <t>Consolidated</t>
        </is>
      </c>
      <c r="J11" s="24" t="inlineStr">
        <is>
          <t>https://cdnv2-tmdt.tgdd.vn/mwgvn/investorrelations/files/posts/2026/6/0/6b/e5/6be50a510e272451464dae07771401ca.xlsx</t>
        </is>
      </c>
      <c r="K11" s="22" t="inlineStr">
        <is>
          <t>data/raw/dmx/dmx_q1_2026_data_pack.xlsx</t>
        </is>
      </c>
      <c r="L11" s="22" t="inlineStr">
        <is>
          <t>Q1 2026 actual balance sheet, income statement and cash flow</t>
        </is>
      </c>
      <c r="M11" s="22" t="inlineStr">
        <is>
          <t>Model values are in VND bn; source workbook is in VND.</t>
        </is>
      </c>
    </row>
    <row r="12" ht="54" customHeight="1">
      <c r="A12" s="25" t="inlineStr">
        <is>
          <t>DMX_RESULTS_2026H1</t>
        </is>
      </c>
      <c r="B12" s="25" t="inlineStr">
        <is>
          <t>DMX</t>
        </is>
      </c>
      <c r="C12" s="25" t="inlineStr">
        <is>
          <t>Business update</t>
        </is>
      </c>
      <c r="D12" s="25" t="inlineStr">
        <is>
          <t>DMX business results — six months 2026</t>
        </is>
      </c>
      <c r="E12" s="26" t="n">
        <v>46203</v>
      </c>
      <c r="F12" s="26" t="n"/>
      <c r="G12" s="26" t="n">
        <v>46216</v>
      </c>
      <c r="H12" s="25" t="inlineStr">
        <is>
          <t>Unaudited</t>
        </is>
      </c>
      <c r="I12" s="25" t="inlineStr">
        <is>
          <t>Company LFL operating update</t>
        </is>
      </c>
      <c r="J12" s="24" t="inlineStr">
        <is>
          <t>https://cdnv2-tmdt.tgdd.vn/mwgvn/investorrelations/files/posts/2026/7/5006021/b5/ee/b5ee17c283b469b12b3b435d00da8aa4.pdf</t>
        </is>
      </c>
      <c r="K12" s="25" t="inlineStr">
        <is>
          <t>N/A</t>
        </is>
      </c>
      <c r="L12" s="25" t="inlineStr">
        <is>
          <t>Operating KPI context only</t>
        </is>
      </c>
      <c r="M12" s="25" t="inlineStr">
        <is>
          <t>Not used as a substitute for audited/interim financial statements.</t>
        </is>
      </c>
    </row>
    <row r="13" ht="54" customHeight="1">
      <c r="A13" s="22" t="inlineStr">
        <is>
          <t>DMX-OUTLOOK</t>
        </is>
      </c>
      <c r="B13" s="22" t="inlineStr">
        <is>
          <t>DMX</t>
        </is>
      </c>
      <c r="C13" s="22" t="inlineStr">
        <is>
          <t>Investor presentation</t>
        </is>
      </c>
      <c r="D13" s="22" t="inlineStr">
        <is>
          <t>DMX 2026–2030 management outlook</t>
        </is>
      </c>
      <c r="E13" s="23" t="n">
        <v>47848</v>
      </c>
      <c r="F13" s="23" t="n"/>
      <c r="G13" s="23" t="n">
        <v>46216</v>
      </c>
      <c r="H13" s="22" t="inlineStr">
        <is>
          <t>N/A</t>
        </is>
      </c>
      <c r="I13" s="22" t="inlineStr">
        <is>
          <t>Company outlook</t>
        </is>
      </c>
      <c r="J13" s="24" t="inlineStr">
        <is>
          <t>https://cdnv2-tmdt.tgdd.vn/mwgvn/investorrelations/files/posts/2026/6/5005889/4a/f4/4af4a4152a74661a28063a23b4d6747f.pdf</t>
        </is>
      </c>
      <c r="K13" s="22" t="inlineStr">
        <is>
          <t>N/A</t>
        </is>
      </c>
      <c r="L13" s="22" t="inlineStr">
        <is>
          <t>Management revenue, NPAT and gross-margin outlook</t>
        </is>
      </c>
      <c r="M13" s="22" t="inlineStr">
        <is>
          <t>Separated from analyst forecast and actuals.</t>
        </is>
      </c>
    </row>
    <row r="14" ht="54" customHeight="1">
      <c r="A14" s="25" t="inlineStr">
        <is>
          <t>MWG-AR-2025</t>
        </is>
      </c>
      <c r="B14" s="25" t="inlineStr">
        <is>
          <t>MWG</t>
        </is>
      </c>
      <c r="C14" s="25" t="inlineStr">
        <is>
          <t>Annual report</t>
        </is>
      </c>
      <c r="D14" s="25" t="inlineStr">
        <is>
          <t>MWG Annual Report 2025</t>
        </is>
      </c>
      <c r="E14" s="26" t="n">
        <v>46022</v>
      </c>
      <c r="F14" s="26" t="n"/>
      <c r="G14" s="26" t="n">
        <v>46216</v>
      </c>
      <c r="H14" s="25" t="inlineStr">
        <is>
          <t>Audited sections as identified in report</t>
        </is>
      </c>
      <c r="I14" s="25" t="inlineStr">
        <is>
          <t>Consolidated / corporate</t>
        </is>
      </c>
      <c r="J14" s="24" t="inlineStr">
        <is>
          <t>https://cdnv2.tgdd.vn/mwgvn/investorrelations/files/posts/2026/3/5677/48/8a/488ab752e1224bcbd9dd5413be04179f.pdf</t>
        </is>
      </c>
      <c r="K14" s="25" t="inlineStr">
        <is>
          <t>data/raw/mwg/mwg_annual_report_2025.pdf</t>
        </is>
      </c>
      <c r="L14" s="25" t="inlineStr">
        <is>
          <t>Group context and perimeter</t>
        </is>
      </c>
      <c r="M14" s="25" t="inlineStr">
        <is>
          <t>No current MWG market price is imported into this workbook.</t>
        </is>
      </c>
    </row>
    <row r="15" ht="54" customHeight="1">
      <c r="A15" s="22" t="inlineStr">
        <is>
          <t>MWG-ERABLUE-JV</t>
        </is>
      </c>
      <c r="B15" s="22" t="inlineStr">
        <is>
          <t>MWG</t>
        </is>
      </c>
      <c r="C15" s="22" t="inlineStr">
        <is>
          <t>Issuer article</t>
        </is>
      </c>
      <c r="D15" s="22" t="inlineStr">
        <is>
          <t>MWG describes EraBlue as a joint venture</t>
        </is>
      </c>
      <c r="E15" s="23" t="n"/>
      <c r="F15" s="23" t="n"/>
      <c r="G15" s="23" t="n">
        <v>46216</v>
      </c>
      <c r="H15" s="22" t="inlineStr">
        <is>
          <t>N/A</t>
        </is>
      </c>
      <c r="I15" s="22" t="inlineStr">
        <is>
          <t>Issuer article</t>
        </is>
      </c>
      <c r="J15" s="24" t="inlineStr">
        <is>
          <t>https://mwg.vn/tin-tuc/erablue-buoc-chuyen-minh-cua-the-gioi-di-dong-o-quoc-gia-dong-dan-nhat-asean-179</t>
        </is>
      </c>
      <c r="K15" s="22" t="inlineStr">
        <is>
          <t>N/A</t>
        </is>
      </c>
      <c r="L15" s="22" t="inlineStr">
        <is>
          <t>Perimeter and double-counting control</t>
        </is>
      </c>
      <c r="M15" s="22" t="inlineStr">
        <is>
          <t>EraBlue is included once inside DMX in this illustrative model.</t>
        </is>
      </c>
    </row>
    <row r="18">
      <c r="A18" s="27" t="inlineStr">
        <is>
          <t>Repository policy: raw issuer documents are git-ignored. The build script embeds only the derived official facts needed for reproducibility and links each fact to the issuer source. If the local Q1 data pack is present, the build verifies representative embedded values against it before saving the model.</t>
        </is>
      </c>
    </row>
    <row r="19"/>
    <row r="20"/>
  </sheetData>
  <mergeCells count="3">
    <mergeCell ref="A18:M20"/>
    <mergeCell ref="A2:M2"/>
    <mergeCell ref="A1:M1"/>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3.xml><?xml version="1.0" encoding="utf-8"?>
<worksheet xmlns="http://schemas.openxmlformats.org/spreadsheetml/2006/main">
  <sheetPr>
    <tabColor rgb="0000A6A6"/>
    <outlinePr summaryBelow="1" summaryRight="1"/>
    <pageSetUpPr fitToPage="1"/>
  </sheetPr>
  <dimension ref="A1:H25"/>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5" customWidth="1" min="2" max="2"/>
    <col width="18" customWidth="1" min="3" max="3"/>
    <col width="18" customWidth="1" min="4" max="4"/>
    <col width="20" customWidth="1" min="5" max="5"/>
    <col width="25" customWidth="1" min="6" max="6"/>
    <col width="52" customWidth="1" min="7" max="7"/>
    <col width="24" customWidth="1" min="8" max="8"/>
  </cols>
  <sheetData>
    <row r="1" ht="31" customHeight="1">
      <c r="A1" s="20" t="inlineStr">
        <is>
          <t>DMX IPO bridge — planned vs actual close</t>
        </is>
      </c>
    </row>
    <row r="2" ht="23" customHeight="1">
      <c r="A2" s="21" t="inlineStr">
        <is>
          <t>Primary issuance; MWG did not receive the gross proceeds. Shares in million, values in VND bn unless stated.</t>
        </is>
      </c>
    </row>
    <row r="4" ht="30" customHeight="1">
      <c r="A4" s="14" t="inlineStr">
        <is>
          <t>Metric</t>
        </is>
      </c>
      <c r="B4" s="14" t="inlineStr">
        <is>
          <t>Unit</t>
        </is>
      </c>
      <c r="C4" s="14" t="inlineStr">
        <is>
          <t>Planned</t>
        </is>
      </c>
      <c r="D4" s="14" t="inlineStr">
        <is>
          <t>Actual close</t>
        </is>
      </c>
      <c r="E4" s="14" t="inlineStr">
        <is>
          <t>Status</t>
        </is>
      </c>
      <c r="F4" s="14" t="inlineStr">
        <is>
          <t>Source / formula</t>
        </is>
      </c>
      <c r="G4" s="14" t="inlineStr">
        <is>
          <t>Interpretation</t>
        </is>
      </c>
      <c r="H4" s="14" t="inlineStr">
        <is>
          <t>Control</t>
        </is>
      </c>
    </row>
    <row r="5" ht="30" customHeight="1">
      <c r="A5" s="28" t="inlineStr">
        <is>
          <t>IPO offer price</t>
        </is>
      </c>
      <c r="B5" s="28" t="inlineStr">
        <is>
          <t>VND/share</t>
        </is>
      </c>
      <c r="C5" s="29" t="n">
        <v>80000</v>
      </c>
      <c r="D5" s="29" t="n">
        <v>80000</v>
      </c>
      <c r="E5" s="28" t="inlineStr">
        <is>
          <t>Actual / planned</t>
        </is>
      </c>
      <c r="F5" s="28" t="inlineStr">
        <is>
          <t>DMX-IPO-SALESKIT; DMX-IPO-RES14</t>
        </is>
      </c>
      <c r="G5" s="28" t="inlineStr">
        <is>
          <t>Primary offer price</t>
        </is>
      </c>
      <c r="H5" s="30">
        <f>IF(C5=D5,"PASS","FAIL")</f>
        <v/>
      </c>
    </row>
    <row r="6" ht="30" customHeight="1">
      <c r="A6" s="31" t="inlineStr">
        <is>
          <t>Shares before IPO</t>
        </is>
      </c>
      <c r="B6" s="31" t="inlineStr">
        <is>
          <t>mn shares</t>
        </is>
      </c>
      <c r="C6" s="32" t="n">
        <v>1101.2835</v>
      </c>
      <c r="D6" s="32" t="n">
        <v>1101.2835</v>
      </c>
      <c r="E6" s="31" t="inlineStr">
        <is>
          <t>Actual</t>
        </is>
      </c>
      <c r="F6" s="31" t="inlineStr">
        <is>
          <t>DMX-IPO-RES14</t>
        </is>
      </c>
      <c r="G6" s="31" t="inlineStr">
        <is>
          <t>Opening share count</t>
        </is>
      </c>
    </row>
    <row r="7" ht="30" customHeight="1">
      <c r="A7" s="28" t="inlineStr">
        <is>
          <t>Shares offered</t>
        </is>
      </c>
      <c r="B7" s="28" t="inlineStr">
        <is>
          <t>mn shares</t>
        </is>
      </c>
      <c r="C7" s="33" t="n">
        <v>179.5004</v>
      </c>
      <c r="D7" s="33" t="n">
        <v>179.5004</v>
      </c>
      <c r="E7" s="28" t="inlineStr">
        <is>
          <t>Actual / planned</t>
        </is>
      </c>
      <c r="F7" s="28" t="inlineStr">
        <is>
          <t>DMX-IPO-SALESKIT; DMX-IPO-RES14</t>
        </is>
      </c>
      <c r="G7" s="28" t="inlineStr">
        <is>
          <t>Maximum primary shares offered</t>
        </is>
      </c>
    </row>
    <row r="8" ht="30" customHeight="1">
      <c r="A8" s="31" t="inlineStr">
        <is>
          <t>Shares registered</t>
        </is>
      </c>
      <c r="B8" s="31" t="inlineStr">
        <is>
          <t>mn shares</t>
        </is>
      </c>
      <c r="C8" s="34" t="inlineStr">
        <is>
          <t>N/A</t>
        </is>
      </c>
      <c r="D8" s="32" t="n">
        <v>166.4858</v>
      </c>
      <c r="E8" s="31" t="inlineStr">
        <is>
          <t>Actual</t>
        </is>
      </c>
      <c r="F8" s="31" t="inlineStr">
        <is>
          <t>DMX-IPO-RES14</t>
        </is>
      </c>
      <c r="G8" s="31" t="inlineStr">
        <is>
          <t>Registered, not necessarily allocated</t>
        </is>
      </c>
    </row>
    <row r="9" ht="30" customHeight="1">
      <c r="A9" s="28" t="inlineStr">
        <is>
          <t>Shares successfully allocated</t>
        </is>
      </c>
      <c r="B9" s="28" t="inlineStr">
        <is>
          <t>mn shares</t>
        </is>
      </c>
      <c r="C9" s="33" t="n">
        <v>179.5004</v>
      </c>
      <c r="D9" s="33" t="n">
        <v>166.4385</v>
      </c>
      <c r="E9" s="28" t="inlineStr">
        <is>
          <t>Actual / planned</t>
        </is>
      </c>
      <c r="F9" s="28" t="inlineStr">
        <is>
          <t>DMX-IPO-RES14</t>
        </is>
      </c>
      <c r="G9" s="28" t="inlineStr">
        <is>
          <t>Actual case uses only paid/allocated shares</t>
        </is>
      </c>
    </row>
    <row r="10" ht="30" customHeight="1">
      <c r="A10" s="31" t="inlineStr">
        <is>
          <t>Shares cancelled</t>
        </is>
      </c>
      <c r="B10" s="31" t="inlineStr">
        <is>
          <t>mn shares</t>
        </is>
      </c>
      <c r="C10" s="34">
        <f>C7-C9</f>
        <v/>
      </c>
      <c r="D10" s="32" t="n">
        <v>13.0619</v>
      </c>
      <c r="E10" s="31" t="inlineStr">
        <is>
          <t>Actual</t>
        </is>
      </c>
      <c r="F10" s="31" t="inlineStr">
        <is>
          <t>DMX-IPO-RES14</t>
        </is>
      </c>
      <c r="G10" s="31" t="inlineStr">
        <is>
          <t>Unallocated shares were cancelled</t>
        </is>
      </c>
      <c r="H10" s="30">
        <f>IF(ABS(D7-D9-D10)&lt;0.000001,"PASS","FAIL")</f>
        <v/>
      </c>
    </row>
    <row r="11" ht="30" customHeight="1">
      <c r="A11" s="28" t="inlineStr">
        <is>
          <t>Shares after IPO</t>
        </is>
      </c>
      <c r="B11" s="28" t="inlineStr">
        <is>
          <t>mn shares</t>
        </is>
      </c>
      <c r="C11" s="35">
        <f>C6+C9</f>
        <v/>
      </c>
      <c r="D11" s="33" t="n">
        <v>1267.722</v>
      </c>
      <c r="E11" s="28" t="inlineStr">
        <is>
          <t>Actual</t>
        </is>
      </c>
      <c r="F11" s="28" t="inlineStr">
        <is>
          <t>DMX-IPO-RES14</t>
        </is>
      </c>
      <c r="G11" s="28" t="inlineStr">
        <is>
          <t>Post-IPO diluted share count</t>
        </is>
      </c>
      <c r="H11" s="30">
        <f>IF(ABS((D6+D9)-D11)&lt;0.000001,"PASS","FAIL")</f>
        <v/>
      </c>
    </row>
    <row r="12" ht="30" customHeight="1">
      <c r="A12" s="31" t="inlineStr">
        <is>
          <t>Gross proceeds</t>
        </is>
      </c>
      <c r="B12" s="31" t="inlineStr">
        <is>
          <t>VND bn</t>
        </is>
      </c>
      <c r="C12" s="36">
        <f>C9*C5/1000</f>
        <v/>
      </c>
      <c r="D12" s="36">
        <f>D9*D5/1000</f>
        <v/>
      </c>
      <c r="E12" s="31" t="inlineStr">
        <is>
          <t>Calculated from actual</t>
        </is>
      </c>
      <c r="F12" s="31" t="inlineStr">
        <is>
          <t>Shares allocated × offer price</t>
        </is>
      </c>
      <c r="G12" s="31" t="inlineStr">
        <is>
          <t>Cash raised by DMX before issue costs</t>
        </is>
      </c>
      <c r="H12" s="30">
        <f>IF(ABS(D9*D5/1000-13315.080)&lt;0.001,"PASS","FAIL")</f>
        <v/>
      </c>
    </row>
    <row r="13" ht="30" customHeight="1">
      <c r="A13" s="28" t="inlineStr">
        <is>
          <t>Subscription rate</t>
        </is>
      </c>
      <c r="B13" s="28" t="inlineStr">
        <is>
          <t>%</t>
        </is>
      </c>
      <c r="C13" s="37">
        <f>C9/C7</f>
        <v/>
      </c>
      <c r="D13" s="37">
        <f>D9/D7</f>
        <v/>
      </c>
      <c r="E13" s="28" t="inlineStr">
        <is>
          <t>Calculated</t>
        </is>
      </c>
      <c r="F13" s="28" t="inlineStr">
        <is>
          <t>Allocated / offered</t>
        </is>
      </c>
      <c r="G13" s="28" t="inlineStr">
        <is>
          <t>Actual take-up of the offer</t>
        </is>
      </c>
    </row>
    <row r="14" ht="30" customHeight="1">
      <c r="A14" s="31" t="inlineStr">
        <is>
          <t>New shares / post-money shares</t>
        </is>
      </c>
      <c r="B14" s="31" t="inlineStr">
        <is>
          <t>%</t>
        </is>
      </c>
      <c r="C14" s="38">
        <f>C9/C11</f>
        <v/>
      </c>
      <c r="D14" s="38">
        <f>D9/D11</f>
        <v/>
      </c>
      <c r="E14" s="31" t="inlineStr">
        <is>
          <t>Calculated</t>
        </is>
      </c>
      <c r="F14" s="31" t="inlineStr">
        <is>
          <t>New / post shares</t>
        </is>
      </c>
      <c r="G14" s="31" t="inlineStr">
        <is>
          <t>Primary dilution percentage</t>
        </is>
      </c>
    </row>
    <row r="15" ht="30" customHeight="1">
      <c r="A15" s="28" t="inlineStr">
        <is>
          <t>Pre-money equity value at IPO price</t>
        </is>
      </c>
      <c r="B15" s="28" t="inlineStr">
        <is>
          <t>VND bn</t>
        </is>
      </c>
      <c r="C15" s="39">
        <f>C6*C5/1000</f>
        <v/>
      </c>
      <c r="D15" s="39">
        <f>D6*D5/1000</f>
        <v/>
      </c>
      <c r="E15" s="28" t="inlineStr">
        <is>
          <t>Calculated</t>
        </is>
      </c>
      <c r="F15" s="28" t="inlineStr">
        <is>
          <t>Pre shares × offer price</t>
        </is>
      </c>
      <c r="G15" s="28" t="inlineStr">
        <is>
          <t>Transaction-price identity, not independent fair value</t>
        </is>
      </c>
    </row>
    <row r="16" ht="30" customHeight="1">
      <c r="A16" s="31" t="inlineStr">
        <is>
          <t>Post-money equity value at IPO price</t>
        </is>
      </c>
      <c r="B16" s="31" t="inlineStr">
        <is>
          <t>VND bn</t>
        </is>
      </c>
      <c r="C16" s="36">
        <f>C11*C5/1000</f>
        <v/>
      </c>
      <c r="D16" s="36">
        <f>D11*D5/1000</f>
        <v/>
      </c>
      <c r="E16" s="31" t="inlineStr">
        <is>
          <t>Calculated</t>
        </is>
      </c>
      <c r="F16" s="31" t="inlineStr">
        <is>
          <t>Post shares × offer price</t>
        </is>
      </c>
      <c r="G16" s="31" t="inlineStr">
        <is>
          <t>Transaction-price identity, not a market conclusion</t>
        </is>
      </c>
      <c r="H16" s="30">
        <f>IF(ABS(D15+D12-D16)&lt;0.001,"PASS","FAIL")</f>
        <v/>
      </c>
    </row>
    <row r="17" ht="30" customHeight="1">
      <c r="A17" s="28" t="inlineStr">
        <is>
          <t>MWG ownership after IPO</t>
        </is>
      </c>
      <c r="B17" s="28" t="inlineStr">
        <is>
          <t>%</t>
        </is>
      </c>
      <c r="C17" s="37" t="inlineStr">
        <is>
          <t>N/A</t>
        </is>
      </c>
      <c r="D17" s="40" t="n">
        <v>0.86</v>
      </c>
      <c r="E17" s="28" t="inlineStr">
        <is>
          <t>Approximate disclosure</t>
        </is>
      </c>
      <c r="F17" s="28" t="inlineStr">
        <is>
          <t>DMX-IPO-COMPLETE</t>
        </is>
      </c>
      <c r="G17" s="28" t="inlineStr">
        <is>
          <t>'Nearly 86%' only; exact shares remain unverified</t>
        </is>
      </c>
      <c r="H17" s="30">
        <f>IF(ABS(D17-86%)&lt;=1%,"PASS — rounded","WARN")</f>
        <v/>
      </c>
    </row>
    <row r="18" ht="30" customHeight="1">
      <c r="A18" s="31" t="inlineStr">
        <is>
          <t>Estimated issue costs</t>
        </is>
      </c>
      <c r="B18" s="31" t="inlineStr">
        <is>
          <t>VND bn</t>
        </is>
      </c>
      <c r="C18" s="36" t="inlineStr">
        <is>
          <t>N/A</t>
        </is>
      </c>
      <c r="D18" s="41" t="n">
        <v>100</v>
      </c>
      <c r="E18" s="31" t="inlineStr">
        <is>
          <t>Issuer estimate</t>
        </is>
      </c>
      <c r="F18" s="31" t="inlineStr">
        <is>
          <t>DMX_IPO_PROCEEDS_2026</t>
        </is>
      </c>
      <c r="G18" s="31" t="inlineStr">
        <is>
          <t>Estimated transaction costs; not a final reported cash outflow</t>
        </is>
      </c>
      <c r="H18" s="30">
        <f>IF(ABS(D18-100)&lt;0.001,"PASS","FAIL")</f>
        <v/>
      </c>
    </row>
    <row r="19" ht="30" customHeight="1">
      <c r="A19" s="28" t="inlineStr">
        <is>
          <t>Estimated net proceeds</t>
        </is>
      </c>
      <c r="B19" s="28" t="inlineStr">
        <is>
          <t>VND bn</t>
        </is>
      </c>
      <c r="C19" s="39" t="inlineStr">
        <is>
          <t>N/A</t>
        </is>
      </c>
      <c r="D19" s="39">
        <f>D12-D18</f>
        <v/>
      </c>
      <c r="E19" s="28" t="inlineStr">
        <is>
          <t>Issuer estimate</t>
        </is>
      </c>
      <c r="F19" s="28" t="inlineStr">
        <is>
          <t>DMX_IPO_PROCEEDS_2026</t>
        </is>
      </c>
      <c r="G19" s="28" t="inlineStr">
        <is>
          <t>Gross proceeds less estimated issue costs</t>
        </is>
      </c>
      <c r="H19" s="30">
        <f>IF(ABS(D19-13215.080)&lt;0.001,"PASS","FAIL")</f>
        <v/>
      </c>
    </row>
    <row r="20" ht="30" customHeight="1">
      <c r="A20" s="31" t="inlineStr">
        <is>
          <t>Net IPO proceeds adjustment in DCF bridge</t>
        </is>
      </c>
      <c r="B20" s="31" t="inlineStr">
        <is>
          <t>VND bn</t>
        </is>
      </c>
      <c r="C20" s="36" t="inlineStr">
        <is>
          <t>N/A</t>
        </is>
      </c>
      <c r="D20" s="36">
        <f>D19</f>
        <v/>
      </c>
      <c r="E20" s="31" t="inlineStr">
        <is>
          <t>Pro forma</t>
        </is>
      </c>
      <c r="F20" s="31" t="inlineStr">
        <is>
          <t>Resolution 15 after 31-Mar-2026 balance date</t>
        </is>
      </c>
      <c r="G20" s="31" t="inlineStr">
        <is>
          <t>Included once because the DCF uses pre-IPO Q1 cash/debt with post-IPO shares</t>
        </is>
      </c>
      <c r="H20" s="30">
        <f>IF(ABS(D20-D19)&lt;0.001,"PASS","FAIL")</f>
        <v/>
      </c>
    </row>
    <row r="23">
      <c r="A23" s="42" t="inlineStr">
        <is>
          <t>Accounting boundary: this is a primary issuance. Gross proceeds belong to DMX, not MWG. The DCF bridges 31-Mar-2026 pre-IPO cash/debt to a post-IPO share count, so estimated net proceeds of VND 13,215.08bn are added exactly once. Resolution 15 earmarks the proceeds for debt repayment, but this is labelled pro forma until actual disbursement is evidenced. Exact MWG ownership is not inferred from the rounded 'nearly 86%' announcement.</t>
        </is>
      </c>
    </row>
    <row r="24"/>
    <row r="25"/>
  </sheetData>
  <mergeCells count="3">
    <mergeCell ref="A23:H25"/>
    <mergeCell ref="A2:H2"/>
    <mergeCell ref="A1:H1"/>
  </mergeCells>
  <conditionalFormatting sqref="H5:H20">
    <cfRule type="expression" priority="1" dxfId="0">
      <formula>LEFT(H5,4)="PASS"</formula>
    </cfRule>
    <cfRule type="expression" priority="2" dxfId="1">
      <formula>LEFT(H5,4)="FAIL"</formula>
    </cfRule>
    <cfRule type="expression" priority="3" dxfId="2">
      <formula>LEFT(H5,4)="WARN"</formula>
    </cfRule>
  </conditionalFormatting>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4.xml><?xml version="1.0" encoding="utf-8"?>
<worksheet xmlns="http://schemas.openxmlformats.org/spreadsheetml/2006/main">
  <sheetPr>
    <tabColor rgb="0000A6A6"/>
    <outlinePr summaryBelow="1" summaryRight="1"/>
    <pageSetUpPr fitToPage="1"/>
  </sheetPr>
  <dimension ref="A1:N53"/>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36" customWidth="1" min="2" max="2"/>
    <col width="13" customWidth="1" min="3" max="3"/>
    <col width="18" customWidth="1" min="4" max="4"/>
    <col width="18" customWidth="1" min="5" max="5"/>
    <col width="14" customWidth="1" min="6" max="6"/>
    <col width="19" customWidth="1" min="7" max="7"/>
    <col width="28" customWidth="1" min="8" max="8"/>
    <col width="16" customWidth="1" min="9" max="9"/>
    <col width="45" customWidth="1" min="10" max="10"/>
    <col hidden="1" width="13" customWidth="1" min="12" max="12"/>
    <col hidden="1" width="13" customWidth="1" min="13" max="13"/>
    <col hidden="1" width="13" customWidth="1" min="14" max="14"/>
  </cols>
  <sheetData>
    <row r="1" ht="31" customHeight="1">
      <c r="A1" s="20" t="inlineStr">
        <is>
          <t>DMX Q1 2026 actuals</t>
        </is>
      </c>
      <c r="N1" s="43" t="inlineStr">
        <is>
          <t>← Cover</t>
        </is>
      </c>
    </row>
    <row r="2" ht="23" customHeight="1">
      <c r="A2" s="21" t="inlineStr">
        <is>
          <t>Consolidated issuer data pack; reported signs preserved. P&amp;L/CF compare Q1; BS compares 31-Mar-2026 with 31-Dec-2025.</t>
        </is>
      </c>
      <c r="L2" t="inlineStr">
        <is>
          <t>Metric</t>
        </is>
      </c>
      <c r="M2" t="inlineStr">
        <is>
          <t>Q1 2026</t>
        </is>
      </c>
      <c r="N2" t="inlineStr">
        <is>
          <t>Q1 2025</t>
        </is>
      </c>
    </row>
    <row r="3">
      <c r="L3" t="inlineStr">
        <is>
          <t>Revenue</t>
        </is>
      </c>
      <c r="M3">
        <f>D6</f>
        <v/>
      </c>
      <c r="N3">
        <f>E6</f>
        <v/>
      </c>
    </row>
    <row r="4" ht="30" customHeight="1">
      <c r="A4" s="14" t="inlineStr">
        <is>
          <t>Statement</t>
        </is>
      </c>
      <c r="B4" s="14" t="inlineStr">
        <is>
          <t>Line item</t>
        </is>
      </c>
      <c r="C4" s="14" t="inlineStr">
        <is>
          <t>Unit</t>
        </is>
      </c>
      <c r="D4" s="14" t="inlineStr">
        <is>
          <t>Current period</t>
        </is>
      </c>
      <c r="E4" s="14" t="inlineStr">
        <is>
          <t>Comparator</t>
        </is>
      </c>
      <c r="F4" s="14" t="inlineStr">
        <is>
          <t>Change / ratio</t>
        </is>
      </c>
      <c r="G4" s="14" t="inlineStr">
        <is>
          <t>Source ID</t>
        </is>
      </c>
      <c r="H4" s="14" t="inlineStr">
        <is>
          <t>Source locator</t>
        </is>
      </c>
      <c r="I4" s="14" t="inlineStr">
        <is>
          <t>Status</t>
        </is>
      </c>
      <c r="J4" s="14" t="inlineStr">
        <is>
          <t>Notes</t>
        </is>
      </c>
      <c r="L4" t="inlineStr">
        <is>
          <t>Gross profit</t>
        </is>
      </c>
      <c r="M4">
        <f>D8</f>
        <v/>
      </c>
      <c r="N4">
        <f>E8</f>
        <v/>
      </c>
    </row>
    <row r="5" ht="20" customHeight="1">
      <c r="A5" s="44" t="inlineStr">
        <is>
          <t>INCOME STATEMENT — Q1 2026 vs Q1 2025 | VND bn except EPS and ratios</t>
        </is>
      </c>
      <c r="L5" t="inlineStr">
        <is>
          <t>NPAT</t>
        </is>
      </c>
      <c r="M5">
        <f>D20</f>
        <v/>
      </c>
      <c r="N5">
        <f>E20</f>
        <v/>
      </c>
    </row>
    <row r="6" ht="27" customHeight="1">
      <c r="A6" s="31" t="inlineStr">
        <is>
          <t>IS</t>
        </is>
      </c>
      <c r="B6" s="31" t="inlineStr">
        <is>
          <t>Net revenue</t>
        </is>
      </c>
      <c r="C6" s="31" t="inlineStr">
        <is>
          <t>VND bn</t>
        </is>
      </c>
      <c r="D6" s="45" t="n">
        <v>32541.95009189</v>
      </c>
      <c r="E6" s="45" t="n">
        <v>25153.558068114</v>
      </c>
      <c r="F6" s="46">
        <f>ABS(D6)/ABS(E6)-1</f>
        <v/>
      </c>
      <c r="G6" s="31" t="inlineStr">
        <is>
          <t>DMX_DATA_2026Q1</t>
        </is>
      </c>
      <c r="H6" s="31" t="inlineStr">
        <is>
          <t>Income Statement — Net revenue</t>
        </is>
      </c>
      <c r="I6" s="31" t="inlineStr">
        <is>
          <t>Actual</t>
        </is>
      </c>
      <c r="J6" s="31" t="inlineStr"/>
    </row>
    <row r="7" ht="27" customHeight="1">
      <c r="A7" s="28" t="inlineStr">
        <is>
          <t>IS</t>
        </is>
      </c>
      <c r="B7" s="28" t="inlineStr">
        <is>
          <t>Cost of goods sold</t>
        </is>
      </c>
      <c r="C7" s="28" t="inlineStr">
        <is>
          <t>VND bn</t>
        </is>
      </c>
      <c r="D7" s="47" t="n">
        <v>-26300.7287794</v>
      </c>
      <c r="E7" s="47" t="n">
        <v>-20627.386516636</v>
      </c>
      <c r="F7" s="48">
        <f>ABS(D7)/ABS(E7)-1</f>
        <v/>
      </c>
      <c r="G7" s="28" t="inlineStr">
        <is>
          <t>DMX_DATA_2026Q1</t>
        </is>
      </c>
      <c r="H7" s="28" t="inlineStr">
        <is>
          <t>Income Statement — Cost of goods sold</t>
        </is>
      </c>
      <c r="I7" s="28" t="inlineStr">
        <is>
          <t>Actual</t>
        </is>
      </c>
      <c r="J7" s="28" t="inlineStr">
        <is>
          <t>Reported as a negative expense</t>
        </is>
      </c>
    </row>
    <row r="8" ht="27" customHeight="1">
      <c r="A8" s="31" t="inlineStr">
        <is>
          <t>IS</t>
        </is>
      </c>
      <c r="B8" s="31" t="inlineStr">
        <is>
          <t>Gross profit</t>
        </is>
      </c>
      <c r="C8" s="31" t="inlineStr">
        <is>
          <t>VND bn</t>
        </is>
      </c>
      <c r="D8" s="45" t="n">
        <v>6241.22131249</v>
      </c>
      <c r="E8" s="45" t="n">
        <v>4526.171551478</v>
      </c>
      <c r="F8" s="46">
        <f>D8/E8-1</f>
        <v/>
      </c>
      <c r="G8" s="31" t="inlineStr">
        <is>
          <t>DMX_DATA_2026Q1</t>
        </is>
      </c>
      <c r="H8" s="31" t="inlineStr">
        <is>
          <t>Income Statement — Gross profit</t>
        </is>
      </c>
      <c r="I8" s="31" t="inlineStr">
        <is>
          <t>Actual</t>
        </is>
      </c>
      <c r="J8" s="31" t="inlineStr"/>
    </row>
    <row r="9" ht="27" customHeight="1">
      <c r="A9" s="49" t="inlineStr">
        <is>
          <t>IS</t>
        </is>
      </c>
      <c r="B9" s="49" t="inlineStr">
        <is>
          <t>Gross margin</t>
        </is>
      </c>
      <c r="C9" s="28" t="inlineStr">
        <is>
          <t>%</t>
        </is>
      </c>
      <c r="D9" s="50">
        <f>D8/D6</f>
        <v/>
      </c>
      <c r="E9" s="50">
        <f>E8/E6</f>
        <v/>
      </c>
      <c r="F9" s="50">
        <f>D9-E9</f>
        <v/>
      </c>
      <c r="G9" s="28" t="inlineStr">
        <is>
          <t>MODEL-FORMULA</t>
        </is>
      </c>
      <c r="H9" s="28" t="inlineStr">
        <is>
          <t>Gross profit / net revenue</t>
        </is>
      </c>
      <c r="I9" s="28" t="inlineStr">
        <is>
          <t>Calculated</t>
        </is>
      </c>
      <c r="J9" s="28" t="inlineStr">
        <is>
          <t>Change shown in percentage points</t>
        </is>
      </c>
    </row>
    <row r="10" ht="27" customHeight="1">
      <c r="A10" s="31" t="inlineStr">
        <is>
          <t>IS</t>
        </is>
      </c>
      <c r="B10" s="31" t="inlineStr">
        <is>
          <t>Financial income</t>
        </is>
      </c>
      <c r="C10" s="31" t="inlineStr">
        <is>
          <t>VND bn</t>
        </is>
      </c>
      <c r="D10" s="45" t="n">
        <v>512.117161615</v>
      </c>
      <c r="E10" s="45" t="n">
        <v>436.15196836</v>
      </c>
      <c r="F10" s="46">
        <f>D10/E10-1</f>
        <v/>
      </c>
      <c r="G10" s="31" t="inlineStr">
        <is>
          <t>DMX_DATA_2026Q1</t>
        </is>
      </c>
      <c r="H10" s="31" t="inlineStr">
        <is>
          <t>Income Statement — Financial income</t>
        </is>
      </c>
      <c r="I10" s="31" t="inlineStr">
        <is>
          <t>Actual</t>
        </is>
      </c>
      <c r="J10" s="31" t="inlineStr"/>
    </row>
    <row r="11" ht="27" customHeight="1">
      <c r="A11" s="28" t="inlineStr">
        <is>
          <t>IS</t>
        </is>
      </c>
      <c r="B11" s="28" t="inlineStr">
        <is>
          <t>Financial expense</t>
        </is>
      </c>
      <c r="C11" s="28" t="inlineStr">
        <is>
          <t>VND bn</t>
        </is>
      </c>
      <c r="D11" s="47" t="n">
        <v>-326.141821808</v>
      </c>
      <c r="E11" s="47" t="n">
        <v>-202.423284684</v>
      </c>
      <c r="F11" s="48">
        <f>ABS(D11)/ABS(E11)-1</f>
        <v/>
      </c>
      <c r="G11" s="28" t="inlineStr">
        <is>
          <t>DMX_DATA_2026Q1</t>
        </is>
      </c>
      <c r="H11" s="28" t="inlineStr">
        <is>
          <t>Income Statement — Financial expense</t>
        </is>
      </c>
      <c r="I11" s="28" t="inlineStr">
        <is>
          <t>Actual</t>
        </is>
      </c>
      <c r="J11" s="28" t="inlineStr">
        <is>
          <t>Reported as a negative expense</t>
        </is>
      </c>
    </row>
    <row r="12" ht="27" customHeight="1">
      <c r="A12" s="31" t="inlineStr">
        <is>
          <t>IS</t>
        </is>
      </c>
      <c r="B12" s="31" t="inlineStr">
        <is>
          <t>Interest expense</t>
        </is>
      </c>
      <c r="C12" s="31" t="inlineStr">
        <is>
          <t>VND bn</t>
        </is>
      </c>
      <c r="D12" s="45" t="n">
        <v>-324.569874029</v>
      </c>
      <c r="E12" s="45" t="n">
        <v>-201.641796928</v>
      </c>
      <c r="F12" s="46">
        <f>ABS(D12)/ABS(E12)-1</f>
        <v/>
      </c>
      <c r="G12" s="31" t="inlineStr">
        <is>
          <t>DMX_DATA_2026Q1</t>
        </is>
      </c>
      <c r="H12" s="31" t="inlineStr">
        <is>
          <t>Income Statement — Interest expense</t>
        </is>
      </c>
      <c r="I12" s="31" t="inlineStr">
        <is>
          <t>Actual</t>
        </is>
      </c>
      <c r="J12" s="31" t="inlineStr"/>
    </row>
    <row r="13" ht="27" customHeight="1">
      <c r="A13" s="28" t="inlineStr">
        <is>
          <t>IS</t>
        </is>
      </c>
      <c r="B13" s="28" t="inlineStr">
        <is>
          <t>Selling expense</t>
        </is>
      </c>
      <c r="C13" s="28" t="inlineStr">
        <is>
          <t>VND bn</t>
        </is>
      </c>
      <c r="D13" s="47" t="n">
        <v>-2438.374451087</v>
      </c>
      <c r="E13" s="47" t="n">
        <v>-2139.579773103</v>
      </c>
      <c r="F13" s="48">
        <f>ABS(D13)/ABS(E13)-1</f>
        <v/>
      </c>
      <c r="G13" s="28" t="inlineStr">
        <is>
          <t>DMX_DATA_2026Q1</t>
        </is>
      </c>
      <c r="H13" s="28" t="inlineStr">
        <is>
          <t>Income Statement — Selling expense</t>
        </is>
      </c>
      <c r="I13" s="28" t="inlineStr">
        <is>
          <t>Actual</t>
        </is>
      </c>
      <c r="J13" s="28" t="inlineStr"/>
    </row>
    <row r="14" ht="27" customHeight="1">
      <c r="A14" s="31" t="inlineStr">
        <is>
          <t>IS</t>
        </is>
      </c>
      <c r="B14" s="31" t="inlineStr">
        <is>
          <t>G&amp;A expense</t>
        </is>
      </c>
      <c r="C14" s="31" t="inlineStr">
        <is>
          <t>VND bn</t>
        </is>
      </c>
      <c r="D14" s="45" t="n">
        <v>-1225.141003222</v>
      </c>
      <c r="E14" s="45" t="n">
        <v>-771.423462048</v>
      </c>
      <c r="F14" s="46">
        <f>ABS(D14)/ABS(E14)-1</f>
        <v/>
      </c>
      <c r="G14" s="31" t="inlineStr">
        <is>
          <t>DMX_DATA_2026Q1</t>
        </is>
      </c>
      <c r="H14" s="31" t="inlineStr">
        <is>
          <t>Income Statement — G&amp;A expense</t>
        </is>
      </c>
      <c r="I14" s="31" t="inlineStr">
        <is>
          <t>Actual</t>
        </is>
      </c>
      <c r="J14" s="31" t="inlineStr"/>
    </row>
    <row r="15" ht="27" customHeight="1">
      <c r="A15" s="28" t="inlineStr">
        <is>
          <t>IS</t>
        </is>
      </c>
      <c r="B15" s="28" t="inlineStr">
        <is>
          <t>Share of profit from JV</t>
        </is>
      </c>
      <c r="C15" s="28" t="inlineStr">
        <is>
          <t>VND bn</t>
        </is>
      </c>
      <c r="D15" s="47" t="n">
        <v>9.011741927999999</v>
      </c>
      <c r="E15" s="47" t="n">
        <v>3.1297743</v>
      </c>
      <c r="F15" s="48">
        <f>D15/E15-1</f>
        <v/>
      </c>
      <c r="G15" s="28" t="inlineStr">
        <is>
          <t>DMX_DATA_2026Q1</t>
        </is>
      </c>
      <c r="H15" s="28" t="inlineStr">
        <is>
          <t>Income Statement — Share of JV profit</t>
        </is>
      </c>
      <c r="I15" s="28" t="inlineStr">
        <is>
          <t>Actual</t>
        </is>
      </c>
      <c r="J15" s="28" t="inlineStr">
        <is>
          <t>EraBlue is treated as a JV perimeter control</t>
        </is>
      </c>
    </row>
    <row r="16" ht="27" customHeight="1">
      <c r="A16" s="31" t="inlineStr">
        <is>
          <t>IS</t>
        </is>
      </c>
      <c r="B16" s="31" t="inlineStr">
        <is>
          <t>Operating profit</t>
        </is>
      </c>
      <c r="C16" s="31" t="inlineStr">
        <is>
          <t>VND bn</t>
        </is>
      </c>
      <c r="D16" s="45" t="n">
        <v>2772.692939916</v>
      </c>
      <c r="E16" s="45" t="n">
        <v>1852.026774303</v>
      </c>
      <c r="F16" s="46">
        <f>D16/E16-1</f>
        <v/>
      </c>
      <c r="G16" s="31" t="inlineStr">
        <is>
          <t>DMX_DATA_2026Q1</t>
        </is>
      </c>
      <c r="H16" s="31" t="inlineStr">
        <is>
          <t>Income Statement — Operating profit</t>
        </is>
      </c>
      <c r="I16" s="31" t="inlineStr">
        <is>
          <t>Actual</t>
        </is>
      </c>
      <c r="J16" s="31" t="inlineStr"/>
    </row>
    <row r="17" ht="27" customHeight="1">
      <c r="A17" s="49" t="inlineStr">
        <is>
          <t>IS</t>
        </is>
      </c>
      <c r="B17" s="49" t="inlineStr">
        <is>
          <t>Operating margin</t>
        </is>
      </c>
      <c r="C17" s="28" t="inlineStr">
        <is>
          <t>%</t>
        </is>
      </c>
      <c r="D17" s="50">
        <f>D16/D6</f>
        <v/>
      </c>
      <c r="E17" s="50">
        <f>E16/E6</f>
        <v/>
      </c>
      <c r="F17" s="50">
        <f>D17-E17</f>
        <v/>
      </c>
      <c r="G17" s="28" t="inlineStr">
        <is>
          <t>MODEL-FORMULA</t>
        </is>
      </c>
      <c r="H17" s="28" t="inlineStr">
        <is>
          <t>Operating profit / revenue</t>
        </is>
      </c>
      <c r="I17" s="28" t="inlineStr">
        <is>
          <t>Calculated</t>
        </is>
      </c>
      <c r="J17" s="28" t="inlineStr">
        <is>
          <t>Company line includes finance and JV effects; not used as DCF EBIT</t>
        </is>
      </c>
    </row>
    <row r="18" ht="27" customHeight="1">
      <c r="A18" s="31" t="inlineStr">
        <is>
          <t>IS</t>
        </is>
      </c>
      <c r="B18" s="31" t="inlineStr">
        <is>
          <t>Profit before tax</t>
        </is>
      </c>
      <c r="C18" s="31" t="inlineStr">
        <is>
          <t>VND bn</t>
        </is>
      </c>
      <c r="D18" s="45" t="n">
        <v>2775.441460755</v>
      </c>
      <c r="E18" s="45" t="n">
        <v>1856.564880868</v>
      </c>
      <c r="F18" s="46">
        <f>D18/E18-1</f>
        <v/>
      </c>
      <c r="G18" s="31" t="inlineStr">
        <is>
          <t>DMX_DATA_2026Q1</t>
        </is>
      </c>
      <c r="H18" s="31" t="inlineStr">
        <is>
          <t>Income Statement — Profit before tax</t>
        </is>
      </c>
      <c r="I18" s="31" t="inlineStr">
        <is>
          <t>Actual</t>
        </is>
      </c>
      <c r="J18" s="31" t="inlineStr"/>
    </row>
    <row r="19" ht="27" customHeight="1">
      <c r="A19" s="28" t="inlineStr">
        <is>
          <t>IS</t>
        </is>
      </c>
      <c r="B19" s="28" t="inlineStr">
        <is>
          <t>Income tax expense</t>
        </is>
      </c>
      <c r="C19" s="28" t="inlineStr">
        <is>
          <t>VND bn</t>
        </is>
      </c>
      <c r="D19" s="47" t="n">
        <v>-556.874594506</v>
      </c>
      <c r="E19" s="47" t="n">
        <v>-378.189500224</v>
      </c>
      <c r="F19" s="48">
        <f>ABS(D19)/ABS(E19)-1</f>
        <v/>
      </c>
      <c r="G19" s="28" t="inlineStr">
        <is>
          <t>DMX_DATA_2026Q1</t>
        </is>
      </c>
      <c r="H19" s="28" t="inlineStr">
        <is>
          <t>Income Statement — current + deferred tax</t>
        </is>
      </c>
      <c r="I19" s="28" t="inlineStr">
        <is>
          <t>Actual</t>
        </is>
      </c>
      <c r="J19" s="28" t="inlineStr"/>
    </row>
    <row r="20" ht="27" customHeight="1">
      <c r="A20" s="31" t="inlineStr">
        <is>
          <t>IS</t>
        </is>
      </c>
      <c r="B20" s="31" t="inlineStr">
        <is>
          <t>Net profit after tax</t>
        </is>
      </c>
      <c r="C20" s="31" t="inlineStr">
        <is>
          <t>VND bn</t>
        </is>
      </c>
      <c r="D20" s="45" t="n">
        <v>2218.566866249</v>
      </c>
      <c r="E20" s="45" t="n">
        <v>1478.375380644</v>
      </c>
      <c r="F20" s="46">
        <f>D20/E20-1</f>
        <v/>
      </c>
      <c r="G20" s="31" t="inlineStr">
        <is>
          <t>DMX_DATA_2026Q1</t>
        </is>
      </c>
      <c r="H20" s="31" t="inlineStr">
        <is>
          <t>Income Statement — NPAT</t>
        </is>
      </c>
      <c r="I20" s="31" t="inlineStr">
        <is>
          <t>Actual</t>
        </is>
      </c>
      <c r="J20" s="31" t="inlineStr"/>
    </row>
    <row r="21" ht="27" customHeight="1">
      <c r="A21" s="49" t="inlineStr">
        <is>
          <t>IS</t>
        </is>
      </c>
      <c r="B21" s="49" t="inlineStr">
        <is>
          <t>NPAT margin</t>
        </is>
      </c>
      <c r="C21" s="28" t="inlineStr">
        <is>
          <t>%</t>
        </is>
      </c>
      <c r="D21" s="50">
        <f>D20/D6</f>
        <v/>
      </c>
      <c r="E21" s="50">
        <f>E20/E6</f>
        <v/>
      </c>
      <c r="F21" s="50">
        <f>D21-E21</f>
        <v/>
      </c>
      <c r="G21" s="28" t="inlineStr">
        <is>
          <t>MODEL-FORMULA</t>
        </is>
      </c>
      <c r="H21" s="28" t="inlineStr">
        <is>
          <t>NPAT / revenue</t>
        </is>
      </c>
      <c r="I21" s="28" t="inlineStr">
        <is>
          <t>Calculated</t>
        </is>
      </c>
      <c r="J21" s="28" t="inlineStr">
        <is>
          <t>Change shown in percentage points</t>
        </is>
      </c>
    </row>
    <row r="22" ht="27" customHeight="1">
      <c r="A22" s="31" t="inlineStr">
        <is>
          <t>IS</t>
        </is>
      </c>
      <c r="B22" s="31" t="inlineStr">
        <is>
          <t>Basic EPS</t>
        </is>
      </c>
      <c r="C22" s="31" t="inlineStr">
        <is>
          <t>VND/share</t>
        </is>
      </c>
      <c r="D22" s="51" t="n">
        <v>2015</v>
      </c>
      <c r="E22" s="51" t="n">
        <v>1342</v>
      </c>
      <c r="F22" s="52">
        <f>D22/E22-1</f>
        <v/>
      </c>
      <c r="G22" s="31" t="inlineStr">
        <is>
          <t>DMX_DATA_2026Q1</t>
        </is>
      </c>
      <c r="H22" s="31" t="inlineStr">
        <is>
          <t>Income Statement — Basic EPS</t>
        </is>
      </c>
      <c r="I22" s="31" t="inlineStr">
        <is>
          <t>Actual</t>
        </is>
      </c>
      <c r="J22" s="31" t="inlineStr"/>
    </row>
    <row r="24" ht="20" customHeight="1">
      <c r="A24" s="44" t="inlineStr">
        <is>
          <t>BALANCE SHEET — 31-Mar-2026 vs 31-Dec-2025 | VND bn</t>
        </is>
      </c>
    </row>
    <row r="25" ht="27" customHeight="1">
      <c r="A25" s="28" t="inlineStr">
        <is>
          <t>BS</t>
        </is>
      </c>
      <c r="B25" s="28" t="inlineStr">
        <is>
          <t>Cash &amp; cash equivalents</t>
        </is>
      </c>
      <c r="C25" s="28" t="inlineStr">
        <is>
          <t>VND bn</t>
        </is>
      </c>
      <c r="D25" s="47" t="n">
        <v>3312.678561377</v>
      </c>
      <c r="E25" s="47" t="n">
        <v>3578.154917657</v>
      </c>
      <c r="F25" s="48">
        <f>IFERROR(D25/E25-1,"N/A")</f>
        <v/>
      </c>
      <c r="G25" s="28" t="inlineStr">
        <is>
          <t>DMX_DATA_2026Q1</t>
        </is>
      </c>
      <c r="H25" s="28" t="inlineStr">
        <is>
          <t>Balance Sheet — Cash &amp; cash equivalents</t>
        </is>
      </c>
      <c r="I25" s="28" t="inlineStr">
        <is>
          <t>Actual</t>
        </is>
      </c>
      <c r="J25" s="28" t="inlineStr"/>
    </row>
    <row r="26" ht="27" customHeight="1">
      <c r="A26" s="31" t="inlineStr">
        <is>
          <t>BS</t>
        </is>
      </c>
      <c r="B26" s="31" t="inlineStr">
        <is>
          <t>Short-term held-to-maturity investments</t>
        </is>
      </c>
      <c r="C26" s="31" t="inlineStr">
        <is>
          <t>VND bn</t>
        </is>
      </c>
      <c r="D26" s="45" t="n">
        <v>25255.708750726</v>
      </c>
      <c r="E26" s="45" t="n">
        <v>25246.51512404</v>
      </c>
      <c r="F26" s="46">
        <f>IFERROR(D26/E26-1,"N/A")</f>
        <v/>
      </c>
      <c r="G26" s="31" t="inlineStr">
        <is>
          <t>DMX_DATA_2026Q1</t>
        </is>
      </c>
      <c r="H26" s="31" t="inlineStr">
        <is>
          <t>Balance Sheet — Short-term investments</t>
        </is>
      </c>
      <c r="I26" s="31" t="inlineStr">
        <is>
          <t>Actual</t>
        </is>
      </c>
      <c r="J26" s="31" t="inlineStr"/>
    </row>
    <row r="27" ht="27" customHeight="1">
      <c r="A27" s="28" t="inlineStr">
        <is>
          <t>BS</t>
        </is>
      </c>
      <c r="B27" s="28" t="inlineStr">
        <is>
          <t>Long-term held-to-maturity investments</t>
        </is>
      </c>
      <c r="C27" s="28" t="inlineStr">
        <is>
          <t>VND bn</t>
        </is>
      </c>
      <c r="D27" s="47" t="n">
        <v>1499.5024</v>
      </c>
      <c r="E27" s="47" t="n">
        <v>1400</v>
      </c>
      <c r="F27" s="48">
        <f>IFERROR(D27/E27-1,"N/A")</f>
        <v/>
      </c>
      <c r="G27" s="28" t="inlineStr">
        <is>
          <t>DMX_DATA_2026Q1</t>
        </is>
      </c>
      <c r="H27" s="28" t="inlineStr">
        <is>
          <t>Balance Sheet — Long-term held-to-maturity investments</t>
        </is>
      </c>
      <c r="I27" s="28" t="inlineStr">
        <is>
          <t>Actual</t>
        </is>
      </c>
      <c r="J27" s="28" t="inlineStr"/>
    </row>
    <row r="28" ht="27" customHeight="1">
      <c r="A28" s="49" t="inlineStr">
        <is>
          <t>BS</t>
        </is>
      </c>
      <c r="B28" s="49" t="inlineStr">
        <is>
          <t>Cash + term deposits</t>
        </is>
      </c>
      <c r="C28" s="31" t="inlineStr">
        <is>
          <t>VND bn</t>
        </is>
      </c>
      <c r="D28" s="46">
        <f>D25+D26+D27</f>
        <v/>
      </c>
      <c r="E28" s="46">
        <f>E25+E26+E27</f>
        <v/>
      </c>
      <c r="F28" s="46">
        <f>IFERROR(D28/E28-1,"N/A")</f>
        <v/>
      </c>
      <c r="G28" s="31" t="inlineStr">
        <is>
          <t>MODEL-FORMULA</t>
        </is>
      </c>
      <c r="H28" s="31" t="inlineStr">
        <is>
          <t>Cash + short-term investments + long-term deposits</t>
        </is>
      </c>
      <c r="I28" s="31" t="inlineStr">
        <is>
          <t>Calculated</t>
        </is>
      </c>
      <c r="J28" s="31" t="inlineStr"/>
    </row>
    <row r="29" ht="27" customHeight="1">
      <c r="A29" s="28" t="inlineStr">
        <is>
          <t>BS</t>
        </is>
      </c>
      <c r="B29" s="28" t="inlineStr">
        <is>
          <t>Current receivables</t>
        </is>
      </c>
      <c r="C29" s="28" t="inlineStr">
        <is>
          <t>VND bn</t>
        </is>
      </c>
      <c r="D29" s="47" t="n">
        <v>1612.050831121</v>
      </c>
      <c r="E29" s="47" t="n">
        <v>1432.56488899</v>
      </c>
      <c r="F29" s="48">
        <f>IFERROR(D29/E29-1,"N/A")</f>
        <v/>
      </c>
      <c r="G29" s="28" t="inlineStr">
        <is>
          <t>DMX_DATA_2026Q1</t>
        </is>
      </c>
      <c r="H29" s="28" t="inlineStr">
        <is>
          <t>Balance Sheet — Current receivables</t>
        </is>
      </c>
      <c r="I29" s="28" t="inlineStr">
        <is>
          <t>Actual</t>
        </is>
      </c>
      <c r="J29" s="28" t="inlineStr"/>
    </row>
    <row r="30" ht="27" customHeight="1">
      <c r="A30" s="31" t="inlineStr">
        <is>
          <t>BS</t>
        </is>
      </c>
      <c r="B30" s="31" t="inlineStr">
        <is>
          <t>Inventory, net</t>
        </is>
      </c>
      <c r="C30" s="31" t="inlineStr">
        <is>
          <t>VND bn</t>
        </is>
      </c>
      <c r="D30" s="45" t="n">
        <v>23054.446543337</v>
      </c>
      <c r="E30" s="45" t="n">
        <v>22759.101620225</v>
      </c>
      <c r="F30" s="46">
        <f>IFERROR(D30/E30-1,"N/A")</f>
        <v/>
      </c>
      <c r="G30" s="31" t="inlineStr">
        <is>
          <t>DMX_DATA_2026Q1</t>
        </is>
      </c>
      <c r="H30" s="31" t="inlineStr">
        <is>
          <t>Balance Sheet — Inventories</t>
        </is>
      </c>
      <c r="I30" s="31" t="inlineStr">
        <is>
          <t>Actual</t>
        </is>
      </c>
      <c r="J30" s="31" t="inlineStr"/>
    </row>
    <row r="31" ht="27" customHeight="1">
      <c r="A31" s="28" t="inlineStr">
        <is>
          <t>BS</t>
        </is>
      </c>
      <c r="B31" s="28" t="inlineStr">
        <is>
          <t>Inventory provision</t>
        </is>
      </c>
      <c r="C31" s="28" t="inlineStr">
        <is>
          <t>VND bn</t>
        </is>
      </c>
      <c r="D31" s="47" t="n">
        <v>-749.0323563109999</v>
      </c>
      <c r="E31" s="47" t="n">
        <v>-609.594155009</v>
      </c>
      <c r="F31" s="48">
        <f>IFERROR(D31/E31-1,"N/A")</f>
        <v/>
      </c>
      <c r="G31" s="28" t="inlineStr">
        <is>
          <t>DMX_DATA_2026Q1</t>
        </is>
      </c>
      <c r="H31" s="28" t="inlineStr">
        <is>
          <t>Balance Sheet — Inventory provision</t>
        </is>
      </c>
      <c r="I31" s="28" t="inlineStr">
        <is>
          <t>Actual</t>
        </is>
      </c>
      <c r="J31" s="28" t="inlineStr"/>
    </row>
    <row r="32" ht="27" customHeight="1">
      <c r="A32" s="31" t="inlineStr">
        <is>
          <t>BS</t>
        </is>
      </c>
      <c r="B32" s="31" t="inlineStr">
        <is>
          <t>Fixed assets, net</t>
        </is>
      </c>
      <c r="C32" s="31" t="inlineStr">
        <is>
          <t>VND bn</t>
        </is>
      </c>
      <c r="D32" s="45" t="n">
        <v>751.596973808</v>
      </c>
      <c r="E32" s="45" t="n">
        <v>840.472791325</v>
      </c>
      <c r="F32" s="46">
        <f>IFERROR(D32/E32-1,"N/A")</f>
        <v/>
      </c>
      <c r="G32" s="31" t="inlineStr">
        <is>
          <t>DMX_DATA_2026Q1</t>
        </is>
      </c>
      <c r="H32" s="31" t="inlineStr">
        <is>
          <t>Balance Sheet — Fixed assets</t>
        </is>
      </c>
      <c r="I32" s="31" t="inlineStr">
        <is>
          <t>Actual</t>
        </is>
      </c>
      <c r="J32" s="31" t="inlineStr"/>
    </row>
    <row r="33" ht="27" customHeight="1">
      <c r="A33" s="28" t="inlineStr">
        <is>
          <t>BS</t>
        </is>
      </c>
      <c r="B33" s="28" t="inlineStr">
        <is>
          <t>Investment in jointly controlled entity</t>
        </is>
      </c>
      <c r="C33" s="28" t="inlineStr">
        <is>
          <t>VND bn</t>
        </is>
      </c>
      <c r="D33" s="47" t="n">
        <v>502.561163711</v>
      </c>
      <c r="E33" s="47" t="n">
        <v>371.159064528</v>
      </c>
      <c r="F33" s="48">
        <f>IFERROR(D33/E33-1,"N/A")</f>
        <v/>
      </c>
      <c r="G33" s="28" t="inlineStr">
        <is>
          <t>DMX_DATA_2026Q1</t>
        </is>
      </c>
      <c r="H33" s="28" t="inlineStr">
        <is>
          <t>Balance Sheet — JV investment</t>
        </is>
      </c>
      <c r="I33" s="28" t="inlineStr">
        <is>
          <t>Actual</t>
        </is>
      </c>
      <c r="J33" s="28" t="inlineStr"/>
    </row>
    <row r="34" ht="27" customHeight="1">
      <c r="A34" s="31" t="inlineStr">
        <is>
          <t>BS</t>
        </is>
      </c>
      <c r="B34" s="31" t="inlineStr">
        <is>
          <t>Total assets</t>
        </is>
      </c>
      <c r="C34" s="31" t="inlineStr">
        <is>
          <t>VND bn</t>
        </is>
      </c>
      <c r="D34" s="45" t="n">
        <v>57327.010309745</v>
      </c>
      <c r="E34" s="45" t="n">
        <v>56916.23786641</v>
      </c>
      <c r="F34" s="46">
        <f>IFERROR(D34/E34-1,"N/A")</f>
        <v/>
      </c>
      <c r="G34" s="31" t="inlineStr">
        <is>
          <t>DMX_DATA_2026Q1</t>
        </is>
      </c>
      <c r="H34" s="31" t="inlineStr">
        <is>
          <t>Balance Sheet — Total assets</t>
        </is>
      </c>
      <c r="I34" s="31" t="inlineStr">
        <is>
          <t>Actual</t>
        </is>
      </c>
      <c r="J34" s="31" t="inlineStr"/>
    </row>
    <row r="35" ht="27" customHeight="1">
      <c r="A35" s="28" t="inlineStr">
        <is>
          <t>BS</t>
        </is>
      </c>
      <c r="B35" s="28" t="inlineStr">
        <is>
          <t>Short-term trade payables</t>
        </is>
      </c>
      <c r="C35" s="28" t="inlineStr">
        <is>
          <t>VND bn</t>
        </is>
      </c>
      <c r="D35" s="47" t="n">
        <v>8598.546695344001</v>
      </c>
      <c r="E35" s="47" t="n">
        <v>9701.594456166</v>
      </c>
      <c r="F35" s="48">
        <f>IFERROR(D35/E35-1,"N/A")</f>
        <v/>
      </c>
      <c r="G35" s="28" t="inlineStr">
        <is>
          <t>DMX_DATA_2026Q1</t>
        </is>
      </c>
      <c r="H35" s="28" t="inlineStr">
        <is>
          <t>Balance Sheet — Trade payables</t>
        </is>
      </c>
      <c r="I35" s="28" t="inlineStr">
        <is>
          <t>Actual</t>
        </is>
      </c>
      <c r="J35" s="28" t="inlineStr"/>
    </row>
    <row r="36" ht="27" customHeight="1">
      <c r="A36" s="31" t="inlineStr">
        <is>
          <t>BS</t>
        </is>
      </c>
      <c r="B36" s="31" t="inlineStr">
        <is>
          <t>Short-term debt</t>
        </is>
      </c>
      <c r="C36" s="31" t="inlineStr">
        <is>
          <t>VND bn</t>
        </is>
      </c>
      <c r="D36" s="45" t="n">
        <v>22158.890775085</v>
      </c>
      <c r="E36" s="45" t="n">
        <v>23429.11431765</v>
      </c>
      <c r="F36" s="46">
        <f>IFERROR(D36/E36-1,"N/A")</f>
        <v/>
      </c>
      <c r="G36" s="31" t="inlineStr">
        <is>
          <t>DMX_DATA_2026Q1</t>
        </is>
      </c>
      <c r="H36" s="31" t="inlineStr">
        <is>
          <t>Balance Sheet — Short-term loans</t>
        </is>
      </c>
      <c r="I36" s="31" t="inlineStr">
        <is>
          <t>Actual</t>
        </is>
      </c>
      <c r="J36" s="31" t="inlineStr"/>
    </row>
    <row r="37" ht="27" customHeight="1">
      <c r="A37" s="28" t="inlineStr">
        <is>
          <t>BS</t>
        </is>
      </c>
      <c r="B37" s="28" t="inlineStr">
        <is>
          <t>Total liabilities</t>
        </is>
      </c>
      <c r="C37" s="28" t="inlineStr">
        <is>
          <t>VND bn</t>
        </is>
      </c>
      <c r="D37" s="47" t="n">
        <v>37307.871832989</v>
      </c>
      <c r="E37" s="47" t="n">
        <v>39115.666255903</v>
      </c>
      <c r="F37" s="48">
        <f>IFERROR(D37/E37-1,"N/A")</f>
        <v/>
      </c>
      <c r="G37" s="28" t="inlineStr">
        <is>
          <t>DMX_DATA_2026Q1</t>
        </is>
      </c>
      <c r="H37" s="28" t="inlineStr">
        <is>
          <t>Balance Sheet — Total liabilities</t>
        </is>
      </c>
      <c r="I37" s="28" t="inlineStr">
        <is>
          <t>Actual</t>
        </is>
      </c>
      <c r="J37" s="28" t="inlineStr"/>
    </row>
    <row r="38" ht="27" customHeight="1">
      <c r="A38" s="31" t="inlineStr">
        <is>
          <t>BS</t>
        </is>
      </c>
      <c r="B38" s="31" t="inlineStr">
        <is>
          <t>Total equity</t>
        </is>
      </c>
      <c r="C38" s="31" t="inlineStr">
        <is>
          <t>VND bn</t>
        </is>
      </c>
      <c r="D38" s="45" t="n">
        <v>20019.138476756</v>
      </c>
      <c r="E38" s="45" t="n">
        <v>17800.571610507</v>
      </c>
      <c r="F38" s="46">
        <f>IFERROR(D38/E38-1,"N/A")</f>
        <v/>
      </c>
      <c r="G38" s="31" t="inlineStr">
        <is>
          <t>DMX_DATA_2026Q1</t>
        </is>
      </c>
      <c r="H38" s="31" t="inlineStr">
        <is>
          <t>Balance Sheet — Equity</t>
        </is>
      </c>
      <c r="I38" s="31" t="inlineStr">
        <is>
          <t>Actual</t>
        </is>
      </c>
      <c r="J38" s="31" t="inlineStr"/>
    </row>
    <row r="39" ht="27" customHeight="1">
      <c r="A39" s="49" t="inlineStr">
        <is>
          <t>BS</t>
        </is>
      </c>
      <c r="B39" s="49" t="inlineStr">
        <is>
          <t>Cash + deposits − debt</t>
        </is>
      </c>
      <c r="C39" s="28" t="inlineStr">
        <is>
          <t>VND bn</t>
        </is>
      </c>
      <c r="D39" s="48">
        <f>D28-D36</f>
        <v/>
      </c>
      <c r="E39" s="48">
        <f>E28-E36</f>
        <v/>
      </c>
      <c r="F39" s="48">
        <f>IFERROR(D39/E39-1,"N/A")</f>
        <v/>
      </c>
      <c r="G39" s="28" t="inlineStr">
        <is>
          <t>MODEL-FORMULA</t>
        </is>
      </c>
      <c r="H39" s="28" t="inlineStr">
        <is>
          <t>Calculated liquidity bridge</t>
        </is>
      </c>
      <c r="I39" s="28" t="inlineStr">
        <is>
          <t>Calculated</t>
        </is>
      </c>
      <c r="J39" s="28" t="inlineStr"/>
    </row>
    <row r="41" ht="20" customHeight="1">
      <c r="A41" s="44" t="inlineStr">
        <is>
          <t>CASH FLOW STATEMENT — Q1 2026 vs Q1 2025 | VND bn</t>
        </is>
      </c>
    </row>
    <row r="42" ht="27" customHeight="1">
      <c r="A42" s="31" t="inlineStr">
        <is>
          <t>CF</t>
        </is>
      </c>
      <c r="B42" s="31" t="inlineStr">
        <is>
          <t>Net cash from operating activities</t>
        </is>
      </c>
      <c r="C42" s="31" t="inlineStr">
        <is>
          <t>VND bn</t>
        </is>
      </c>
      <c r="D42" s="45" t="n">
        <v>863.686766977</v>
      </c>
      <c r="E42" s="45" t="n">
        <v>2477.049226791</v>
      </c>
      <c r="F42" s="46">
        <f>IFERROR(D42/E42-1,"N/A")</f>
        <v/>
      </c>
      <c r="G42" s="31" t="inlineStr">
        <is>
          <t>DMX_DATA_2026Q1</t>
        </is>
      </c>
      <c r="H42" s="31" t="inlineStr">
        <is>
          <t>Cash Flow — CFO</t>
        </is>
      </c>
      <c r="I42" s="31" t="inlineStr">
        <is>
          <t>Actual</t>
        </is>
      </c>
      <c r="J42" s="31" t="inlineStr"/>
    </row>
    <row r="43" ht="27" customHeight="1">
      <c r="A43" s="28" t="inlineStr">
        <is>
          <t>CF</t>
        </is>
      </c>
      <c r="B43" s="28" t="inlineStr">
        <is>
          <t>Purchase/construction of fixed assets</t>
        </is>
      </c>
      <c r="C43" s="28" t="inlineStr">
        <is>
          <t>VND bn</t>
        </is>
      </c>
      <c r="D43" s="47" t="n">
        <v>-116.154581487</v>
      </c>
      <c r="E43" s="47" t="n">
        <v>-24.589934831</v>
      </c>
      <c r="F43" s="48">
        <f>IFERROR(D43/E43-1,"N/A")</f>
        <v/>
      </c>
      <c r="G43" s="28" t="inlineStr">
        <is>
          <t>DMX_DATA_2026Q1</t>
        </is>
      </c>
      <c r="H43" s="28" t="inlineStr">
        <is>
          <t>Cash Flow — Capex</t>
        </is>
      </c>
      <c r="I43" s="28" t="inlineStr">
        <is>
          <t>Actual</t>
        </is>
      </c>
      <c r="J43" s="28" t="inlineStr"/>
    </row>
    <row r="44" ht="27" customHeight="1">
      <c r="A44" s="49" t="inlineStr">
        <is>
          <t>CF</t>
        </is>
      </c>
      <c r="B44" s="49" t="inlineStr">
        <is>
          <t>FCF after capex</t>
        </is>
      </c>
      <c r="C44" s="31" t="inlineStr">
        <is>
          <t>VND bn</t>
        </is>
      </c>
      <c r="D44" s="46">
        <f>D42+D43</f>
        <v/>
      </c>
      <c r="E44" s="46">
        <f>E42+E43</f>
        <v/>
      </c>
      <c r="F44" s="46">
        <f>IFERROR(D44/E44-1,"N/A")</f>
        <v/>
      </c>
      <c r="G44" s="31" t="inlineStr">
        <is>
          <t>MODEL-FORMULA</t>
        </is>
      </c>
      <c r="H44" s="31" t="inlineStr">
        <is>
          <t>CFO + capex (capex reported negative)</t>
        </is>
      </c>
      <c r="I44" s="31" t="inlineStr">
        <is>
          <t>Calculated</t>
        </is>
      </c>
      <c r="J44" s="31" t="inlineStr"/>
    </row>
    <row r="45" ht="27" customHeight="1">
      <c r="A45" s="28" t="inlineStr">
        <is>
          <t>CF</t>
        </is>
      </c>
      <c r="B45" s="28" t="inlineStr">
        <is>
          <t>Net cash from investing activities</t>
        </is>
      </c>
      <c r="C45" s="28" t="inlineStr">
        <is>
          <t>VND bn</t>
        </is>
      </c>
      <c r="D45" s="47" t="n">
        <v>140.146492181</v>
      </c>
      <c r="E45" s="47" t="n">
        <v>-1936.035958785</v>
      </c>
      <c r="F45" s="48">
        <f>IFERROR(D45/E45-1,"N/A")</f>
        <v/>
      </c>
      <c r="G45" s="28" t="inlineStr">
        <is>
          <t>DMX_DATA_2026Q1</t>
        </is>
      </c>
      <c r="H45" s="28" t="inlineStr">
        <is>
          <t>Cash Flow — CFI</t>
        </is>
      </c>
      <c r="I45" s="28" t="inlineStr">
        <is>
          <t>Actual</t>
        </is>
      </c>
      <c r="J45" s="28" t="inlineStr"/>
    </row>
    <row r="46" ht="27" customHeight="1">
      <c r="A46" s="31" t="inlineStr">
        <is>
          <t>CF</t>
        </is>
      </c>
      <c r="B46" s="31" t="inlineStr">
        <is>
          <t>Drawdown from borrowings</t>
        </is>
      </c>
      <c r="C46" s="31" t="inlineStr">
        <is>
          <t>VND bn</t>
        </is>
      </c>
      <c r="D46" s="45" t="n">
        <v>22101.481775842</v>
      </c>
      <c r="E46" s="45" t="n">
        <v>17652.457126709</v>
      </c>
      <c r="F46" s="46">
        <f>IFERROR(D46/E46-1,"N/A")</f>
        <v/>
      </c>
      <c r="G46" s="31" t="inlineStr">
        <is>
          <t>DMX_DATA_2026Q1</t>
        </is>
      </c>
      <c r="H46" s="31" t="inlineStr">
        <is>
          <t>Cash Flow — debt drawdown</t>
        </is>
      </c>
      <c r="I46" s="31" t="inlineStr">
        <is>
          <t>Actual</t>
        </is>
      </c>
      <c r="J46" s="31" t="inlineStr"/>
    </row>
    <row r="47" ht="27" customHeight="1">
      <c r="A47" s="28" t="inlineStr">
        <is>
          <t>CF</t>
        </is>
      </c>
      <c r="B47" s="28" t="inlineStr">
        <is>
          <t>Repayment of borrowings</t>
        </is>
      </c>
      <c r="C47" s="28" t="inlineStr">
        <is>
          <t>VND bn</t>
        </is>
      </c>
      <c r="D47" s="47" t="n">
        <v>-23371.705318407</v>
      </c>
      <c r="E47" s="47" t="n">
        <v>-19751.444561031</v>
      </c>
      <c r="F47" s="48">
        <f>IFERROR(D47/E47-1,"N/A")</f>
        <v/>
      </c>
      <c r="G47" s="28" t="inlineStr">
        <is>
          <t>DMX_DATA_2026Q1</t>
        </is>
      </c>
      <c r="H47" s="28" t="inlineStr">
        <is>
          <t>Cash Flow — debt repayment</t>
        </is>
      </c>
      <c r="I47" s="28" t="inlineStr">
        <is>
          <t>Actual</t>
        </is>
      </c>
      <c r="J47" s="28" t="inlineStr"/>
    </row>
    <row r="48" ht="27" customHeight="1">
      <c r="A48" s="31" t="inlineStr">
        <is>
          <t>CF</t>
        </is>
      </c>
      <c r="B48" s="31" t="inlineStr">
        <is>
          <t>Net cash from financing activities</t>
        </is>
      </c>
      <c r="C48" s="31" t="inlineStr">
        <is>
          <t>VND bn</t>
        </is>
      </c>
      <c r="D48" s="45" t="n">
        <v>-1270.223542565</v>
      </c>
      <c r="E48" s="45" t="n">
        <v>-2598.987434326</v>
      </c>
      <c r="F48" s="46">
        <f>IFERROR(D48/E48-1,"N/A")</f>
        <v/>
      </c>
      <c r="G48" s="31" t="inlineStr">
        <is>
          <t>DMX_DATA_2026Q1</t>
        </is>
      </c>
      <c r="H48" s="31" t="inlineStr">
        <is>
          <t>Cash Flow — CFF</t>
        </is>
      </c>
      <c r="I48" s="31" t="inlineStr">
        <is>
          <t>Actual</t>
        </is>
      </c>
      <c r="J48" s="31" t="inlineStr"/>
    </row>
    <row r="49" ht="27" customHeight="1">
      <c r="A49" s="28" t="inlineStr">
        <is>
          <t>CF</t>
        </is>
      </c>
      <c r="B49" s="28" t="inlineStr">
        <is>
          <t>Net change in cash</t>
        </is>
      </c>
      <c r="C49" s="28" t="inlineStr">
        <is>
          <t>VND bn</t>
        </is>
      </c>
      <c r="D49" s="47" t="n">
        <v>-266.390283407</v>
      </c>
      <c r="E49" s="47" t="n">
        <v>-2057.97416632</v>
      </c>
      <c r="F49" s="48">
        <f>IFERROR(D49/E49-1,"N/A")</f>
        <v/>
      </c>
      <c r="G49" s="28" t="inlineStr">
        <is>
          <t>DMX_DATA_2026Q1</t>
        </is>
      </c>
      <c r="H49" s="28" t="inlineStr">
        <is>
          <t>Cash Flow — net change in cash</t>
        </is>
      </c>
      <c r="I49" s="28" t="inlineStr">
        <is>
          <t>Actual</t>
        </is>
      </c>
      <c r="J49" s="28" t="inlineStr"/>
    </row>
    <row r="50" ht="27" customHeight="1">
      <c r="A50" s="31" t="inlineStr">
        <is>
          <t>CF</t>
        </is>
      </c>
      <c r="B50" s="31" t="inlineStr">
        <is>
          <t>Opening cash</t>
        </is>
      </c>
      <c r="C50" s="31" t="inlineStr">
        <is>
          <t>VND bn</t>
        </is>
      </c>
      <c r="D50" s="45" t="n">
        <v>3578.154917657</v>
      </c>
      <c r="E50" s="45" t="n">
        <v>3780.128276727</v>
      </c>
      <c r="F50" s="46">
        <f>IFERROR(D50/E50-1,"N/A")</f>
        <v/>
      </c>
      <c r="G50" s="31" t="inlineStr">
        <is>
          <t>DMX_DATA_2026Q1</t>
        </is>
      </c>
      <c r="H50" s="31" t="inlineStr">
        <is>
          <t>Cash Flow — opening cash</t>
        </is>
      </c>
      <c r="I50" s="31" t="inlineStr">
        <is>
          <t>Actual</t>
        </is>
      </c>
      <c r="J50" s="31" t="inlineStr"/>
    </row>
    <row r="51" ht="27" customHeight="1">
      <c r="A51" s="28" t="inlineStr">
        <is>
          <t>CF</t>
        </is>
      </c>
      <c r="B51" s="28" t="inlineStr">
        <is>
          <t>FX effect</t>
        </is>
      </c>
      <c r="C51" s="28" t="inlineStr">
        <is>
          <t>VND bn</t>
        </is>
      </c>
      <c r="D51" s="47" t="n">
        <v>0.913927127</v>
      </c>
      <c r="E51" s="47" t="n">
        <v>0.048240903</v>
      </c>
      <c r="F51" s="48">
        <f>IFERROR(D51/E51-1,"N/A")</f>
        <v/>
      </c>
      <c r="G51" s="28" t="inlineStr">
        <is>
          <t>DMX_DATA_2026Q1</t>
        </is>
      </c>
      <c r="H51" s="28" t="inlineStr">
        <is>
          <t>Cash Flow — FX effect</t>
        </is>
      </c>
      <c r="I51" s="28" t="inlineStr">
        <is>
          <t>Actual</t>
        </is>
      </c>
      <c r="J51" s="28" t="inlineStr"/>
    </row>
    <row r="52" ht="27" customHeight="1">
      <c r="A52" s="31" t="inlineStr">
        <is>
          <t>CF</t>
        </is>
      </c>
      <c r="B52" s="31" t="inlineStr">
        <is>
          <t>Closing cash</t>
        </is>
      </c>
      <c r="C52" s="31" t="inlineStr">
        <is>
          <t>VND bn</t>
        </is>
      </c>
      <c r="D52" s="45" t="n">
        <v>3312.678561377</v>
      </c>
      <c r="E52" s="45" t="n">
        <v>1722.20235131</v>
      </c>
      <c r="F52" s="46">
        <f>IFERROR(D52/E52-1,"N/A")</f>
        <v/>
      </c>
      <c r="G52" s="31" t="inlineStr">
        <is>
          <t>DMX_DATA_2026Q1</t>
        </is>
      </c>
      <c r="H52" s="31" t="inlineStr">
        <is>
          <t>Cash Flow — closing cash</t>
        </is>
      </c>
      <c r="I52" s="31" t="inlineStr">
        <is>
          <t>Actual</t>
        </is>
      </c>
      <c r="J52" s="31" t="inlineStr"/>
    </row>
    <row r="53" ht="27" customHeight="1">
      <c r="A53" s="49" t="inlineStr">
        <is>
          <t>CF</t>
        </is>
      </c>
      <c r="B53" s="49" t="inlineStr">
        <is>
          <t>CFO / NPAT</t>
        </is>
      </c>
      <c r="C53" s="28" t="inlineStr">
        <is>
          <t>%</t>
        </is>
      </c>
      <c r="D53" s="50">
        <f>D42/D20</f>
        <v/>
      </c>
      <c r="E53" s="50">
        <f>E42/E20</f>
        <v/>
      </c>
      <c r="F53" s="50">
        <f>IFERROR(D53/E53-1,"N/A")</f>
        <v/>
      </c>
      <c r="G53" s="28" t="inlineStr">
        <is>
          <t>MODEL-FORMULA</t>
        </is>
      </c>
      <c r="H53" s="28" t="inlineStr">
        <is>
          <t>CFO / NPAT</t>
        </is>
      </c>
      <c r="I53" s="28" t="inlineStr">
        <is>
          <t>Calculated</t>
        </is>
      </c>
      <c r="J53" s="28" t="inlineStr"/>
    </row>
  </sheetData>
  <autoFilter ref="A4:J53"/>
  <mergeCells count="5">
    <mergeCell ref="A1:J1"/>
    <mergeCell ref="A5:J5"/>
    <mergeCell ref="A24:J24"/>
    <mergeCell ref="A2:J2"/>
    <mergeCell ref="A41:J41"/>
  </mergeCells>
  <hyperlinks>
    <hyperlink xmlns:r="http://schemas.openxmlformats.org/officeDocument/2006/relationships" ref="N1" r:id="rId1"/>
  </hyperlink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00A6A6"/>
    <outlinePr summaryBelow="1" summaryRight="1"/>
    <pageSetUpPr fitToPage="1"/>
  </sheetPr>
  <dimension ref="A1:J48"/>
  <sheetViews>
    <sheetView showGridLines="0" zoomScale="82"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36" customWidth="1" min="2" max="2"/>
    <col width="16" customWidth="1" min="3" max="3"/>
    <col width="16" customWidth="1" min="4" max="4"/>
    <col width="16" customWidth="1" min="5" max="5"/>
    <col width="16" customWidth="1" min="6" max="6"/>
    <col width="3" customWidth="1" min="7" max="7"/>
    <col width="27" customWidth="1" min="8" max="8"/>
    <col width="31" customWidth="1" min="9" max="9"/>
    <col width="18" customWidth="1" min="10" max="10"/>
  </cols>
  <sheetData>
    <row r="1" ht="31" customHeight="1">
      <c r="A1" s="20" t="inlineStr">
        <is>
          <t>DMX three-statement history</t>
        </is>
      </c>
    </row>
    <row r="2" ht="23" customHeight="1">
      <c r="A2" s="21" t="inlineStr">
        <is>
          <t>FY2023 comparative, FY2024–FY2025 statutory actuals and Q1 2026 latest actual; VND bn unless stated.</t>
        </is>
      </c>
    </row>
    <row r="5" ht="30" customHeight="1">
      <c r="B5" s="14" t="inlineStr">
        <is>
          <t>Line item</t>
        </is>
      </c>
      <c r="C5" s="14" t="inlineStr">
        <is>
          <t>FY2023A</t>
        </is>
      </c>
      <c r="D5" s="14" t="inlineStr">
        <is>
          <t>FY2024A</t>
        </is>
      </c>
      <c r="E5" s="14" t="inlineStr">
        <is>
          <t>FY2025A</t>
        </is>
      </c>
      <c r="F5" s="14" t="inlineStr">
        <is>
          <t>Q1 2026A</t>
        </is>
      </c>
      <c r="H5" s="42" t="inlineStr">
        <is>
          <t>Coverage control: FY2023 is the comparative column in the FY2024 filing and is expressly unaudited. FY2024 and FY2025 are audited consolidated statutory actuals. Q1 2026 is unaudited. The H1 2026 issuer update is not presented as a financial statement.</t>
        </is>
      </c>
    </row>
    <row r="6">
      <c r="B6" s="53" t="inlineStr">
        <is>
          <t>Audit status</t>
        </is>
      </c>
      <c r="C6" s="53" t="inlineStr">
        <is>
          <t>comparative unaudited</t>
        </is>
      </c>
      <c r="D6" s="54" t="inlineStr">
        <is>
          <t>audited</t>
        </is>
      </c>
      <c r="E6" s="54" t="inlineStr">
        <is>
          <t>audited</t>
        </is>
      </c>
      <c r="F6" s="53" t="inlineStr">
        <is>
          <t>unaudited</t>
        </is>
      </c>
    </row>
    <row r="7">
      <c r="B7" s="55" t="inlineStr">
        <is>
          <t>Scope / basis</t>
        </is>
      </c>
      <c r="C7" s="55" t="inlineStr">
        <is>
          <t>DMX consolidated · reported</t>
        </is>
      </c>
      <c r="D7" s="55" t="inlineStr">
        <is>
          <t>DMX consolidated · reported</t>
        </is>
      </c>
      <c r="E7" s="55" t="inlineStr">
        <is>
          <t>DMX consolidated · reported</t>
        </is>
      </c>
      <c r="F7" s="55" t="inlineStr">
        <is>
          <t>DMX consolidated · reported</t>
        </is>
      </c>
    </row>
    <row r="9" ht="21" customHeight="1">
      <c r="B9" s="5" t="inlineStr">
        <is>
          <t>INCOME STATEMENT</t>
        </is>
      </c>
    </row>
    <row r="10">
      <c r="B10" s="56" t="inlineStr">
        <is>
          <t>Net revenue</t>
        </is>
      </c>
      <c r="C10" s="57" t="n">
        <v>86822.142993475</v>
      </c>
      <c r="D10" s="57" t="n">
        <v>93356.607723985</v>
      </c>
      <c r="E10" s="57" t="n">
        <v>109479.188452846</v>
      </c>
      <c r="F10" s="57" t="n">
        <v>32541.95009189</v>
      </c>
    </row>
    <row r="11">
      <c r="B11" s="56" t="inlineStr">
        <is>
          <t>Cost of goods sold</t>
        </is>
      </c>
      <c r="C11" s="58" t="n">
        <v>-72403.597338351</v>
      </c>
      <c r="D11" s="58" t="n">
        <v>-76267.19951130101</v>
      </c>
      <c r="E11" s="58" t="n">
        <v>-89992.477524267</v>
      </c>
      <c r="F11" s="58" t="n">
        <v>-26300.7287794</v>
      </c>
    </row>
    <row r="12">
      <c r="B12" s="56" t="inlineStr">
        <is>
          <t>Gross profit</t>
        </is>
      </c>
      <c r="C12" s="57" t="n">
        <v>14418.545655124</v>
      </c>
      <c r="D12" s="57" t="n">
        <v>17089.408212684</v>
      </c>
      <c r="E12" s="57" t="n">
        <v>19486.710928579</v>
      </c>
      <c r="F12" s="57" t="n">
        <v>6241.22131249</v>
      </c>
    </row>
    <row r="13">
      <c r="B13" s="6" t="inlineStr">
        <is>
          <t>Gross margin</t>
        </is>
      </c>
      <c r="C13" s="59">
        <f>C12/C10</f>
        <v/>
      </c>
      <c r="D13" s="59">
        <f>D12/D10</f>
        <v/>
      </c>
      <c r="E13" s="59">
        <f>E12/E10</f>
        <v/>
      </c>
      <c r="F13" s="59">
        <f>F12/F10</f>
        <v/>
      </c>
    </row>
    <row r="14">
      <c r="B14" s="56" t="inlineStr">
        <is>
          <t>Financial income</t>
        </is>
      </c>
      <c r="C14" s="57" t="n">
        <v>1707.16669528</v>
      </c>
      <c r="D14" s="57" t="n">
        <v>1673.177566415</v>
      </c>
      <c r="E14" s="57" t="n">
        <v>1842.889655874</v>
      </c>
      <c r="F14" s="57" t="n">
        <v>512.117161615</v>
      </c>
    </row>
    <row r="15">
      <c r="B15" s="56" t="inlineStr">
        <is>
          <t>Financial expense</t>
        </is>
      </c>
      <c r="C15" s="58" t="n">
        <v>-1082.0115694</v>
      </c>
      <c r="D15" s="58" t="n">
        <v>-700.525805609</v>
      </c>
      <c r="E15" s="58" t="n">
        <v>-973.377602687</v>
      </c>
      <c r="F15" s="58" t="n">
        <v>-326.141821808</v>
      </c>
    </row>
    <row r="16">
      <c r="B16" s="56" t="inlineStr">
        <is>
          <t>Reported operating profit</t>
        </is>
      </c>
      <c r="C16" s="57" t="n">
        <v>2004.037281089</v>
      </c>
      <c r="D16" s="57" t="n">
        <v>5084.037000547</v>
      </c>
      <c r="E16" s="57" t="n">
        <v>7240.395752425</v>
      </c>
      <c r="F16" s="57" t="n">
        <v>2772.692939916</v>
      </c>
    </row>
    <row r="17">
      <c r="B17" s="6" t="inlineStr">
        <is>
          <t>Operating margin</t>
        </is>
      </c>
      <c r="C17" s="59">
        <f>C16/C10</f>
        <v/>
      </c>
      <c r="D17" s="59">
        <f>D16/D10</f>
        <v/>
      </c>
      <c r="E17" s="59">
        <f>E16/E10</f>
        <v/>
      </c>
      <c r="F17" s="59">
        <f>F16/F10</f>
        <v/>
      </c>
    </row>
    <row r="18">
      <c r="B18" s="56" t="inlineStr">
        <is>
          <t>Profit before tax</t>
        </is>
      </c>
      <c r="C18" s="57" t="n">
        <v>1799.286900289</v>
      </c>
      <c r="D18" s="57" t="n">
        <v>4746.514429249</v>
      </c>
      <c r="E18" s="57" t="n">
        <v>7268.698705779</v>
      </c>
      <c r="F18" s="57" t="n">
        <v>2775.441460755</v>
      </c>
    </row>
    <row r="19">
      <c r="B19" s="56" t="inlineStr">
        <is>
          <t>Income-tax expense</t>
        </is>
      </c>
      <c r="C19" s="58" t="n">
        <v>-453.78569448</v>
      </c>
      <c r="D19" s="58" t="n">
        <v>-1029.943456082</v>
      </c>
      <c r="E19" s="58" t="n">
        <v>-1466.913474051</v>
      </c>
      <c r="F19" s="58" t="n">
        <v>-556.874594506</v>
      </c>
    </row>
    <row r="20">
      <c r="B20" s="56" t="inlineStr">
        <is>
          <t>Net profit after tax</t>
        </is>
      </c>
      <c r="C20" s="57" t="n">
        <v>1345.501205809</v>
      </c>
      <c r="D20" s="57" t="n">
        <v>3716.570973167</v>
      </c>
      <c r="E20" s="57" t="n">
        <v>5801.785231728</v>
      </c>
      <c r="F20" s="57" t="n">
        <v>2218.566866249</v>
      </c>
    </row>
    <row r="21">
      <c r="B21" s="6" t="inlineStr">
        <is>
          <t>Net margin</t>
        </is>
      </c>
      <c r="C21" s="59">
        <f>C20/C10</f>
        <v/>
      </c>
      <c r="D21" s="59">
        <f>D20/D10</f>
        <v/>
      </c>
      <c r="E21" s="59">
        <f>E20/E10</f>
        <v/>
      </c>
      <c r="F21" s="59">
        <f>F20/F10</f>
        <v/>
      </c>
    </row>
    <row r="23" ht="21" customHeight="1">
      <c r="B23" s="5" t="inlineStr">
        <is>
          <t>BALANCE SHEET</t>
        </is>
      </c>
    </row>
    <row r="24">
      <c r="B24" s="56" t="inlineStr">
        <is>
          <t>Cash and cash equivalents</t>
        </is>
      </c>
      <c r="C24" s="57" t="n">
        <v>4139.929685549</v>
      </c>
      <c r="D24" s="57" t="n">
        <v>3780.128276727</v>
      </c>
      <c r="E24" s="57" t="n">
        <v>3578.154917657</v>
      </c>
      <c r="F24" s="57" t="n">
        <v>3312.678561377</v>
      </c>
    </row>
    <row r="25">
      <c r="B25" s="56" t="inlineStr">
        <is>
          <t>Short-term investments</t>
        </is>
      </c>
      <c r="C25" s="58" t="n">
        <v>15742.181273443</v>
      </c>
      <c r="D25" s="58" t="n">
        <v>19463.430958687</v>
      </c>
      <c r="E25" s="58" t="n">
        <v>20414.244731666</v>
      </c>
      <c r="F25" s="58" t="n">
        <v>25255.708750726</v>
      </c>
      <c r="H25" s="60" t="inlineStr">
        <is>
          <t>Formula evidence</t>
        </is>
      </c>
    </row>
    <row r="26">
      <c r="B26" s="56" t="inlineStr">
        <is>
          <t>Trade receivables</t>
        </is>
      </c>
      <c r="C26" s="57" t="n">
        <v>298.857679542</v>
      </c>
      <c r="D26" s="57" t="n">
        <v>241.768864731</v>
      </c>
      <c r="E26" s="57" t="n">
        <v>394.564407242</v>
      </c>
      <c r="F26" s="57" t="n">
        <v>293.386129508</v>
      </c>
      <c r="H26" s="61" t="inlineStr">
        <is>
          <t>Gross profit = revenue + signed COGS</t>
        </is>
      </c>
    </row>
    <row r="27">
      <c r="B27" s="56" t="inlineStr">
        <is>
          <t>Gross inventory</t>
        </is>
      </c>
      <c r="C27" s="58" t="n">
        <v>18442.492515483</v>
      </c>
      <c r="D27" s="58" t="n">
        <v>18868.713558233</v>
      </c>
      <c r="E27" s="58" t="n">
        <v>23368.695775234</v>
      </c>
      <c r="F27" s="58" t="n">
        <v>23803.478899648</v>
      </c>
      <c r="H27" s="62" t="inlineStr">
        <is>
          <t>Closing cash = opening cash + CFO + CFI + CFF + FX</t>
        </is>
      </c>
    </row>
    <row r="28">
      <c r="B28" s="56" t="inlineStr">
        <is>
          <t>Inventory provision</t>
        </is>
      </c>
      <c r="C28" s="57" t="n">
        <v>-204.44889692</v>
      </c>
      <c r="D28" s="57" t="n">
        <v>-423.097685938</v>
      </c>
      <c r="E28" s="57" t="n">
        <v>-609.594155009</v>
      </c>
      <c r="F28" s="57" t="n">
        <v>-749.0323563109999</v>
      </c>
      <c r="H28" s="61" t="inlineStr">
        <is>
          <t>Balance check = assets − liabilities − equity</t>
        </is>
      </c>
    </row>
    <row r="29">
      <c r="B29" s="56" t="inlineStr">
        <is>
          <t>Net inventory</t>
        </is>
      </c>
      <c r="C29" s="58" t="n">
        <v>18238.043618563</v>
      </c>
      <c r="D29" s="58" t="n">
        <v>18445.615872295</v>
      </c>
      <c r="E29" s="58" t="n">
        <v>22759.101620225</v>
      </c>
      <c r="F29" s="58" t="n">
        <v>23054.446543337</v>
      </c>
      <c r="H29" s="62" t="inlineStr">
        <is>
          <t>CFO/NPAT is read with seasonality and working-capital drivers</t>
        </is>
      </c>
    </row>
    <row r="30">
      <c r="B30" s="56" t="inlineStr">
        <is>
          <t>Trade payables</t>
        </is>
      </c>
      <c r="C30" s="57" t="n">
        <v>5457.040214493</v>
      </c>
      <c r="D30" s="57" t="n">
        <v>6325.10992864</v>
      </c>
      <c r="E30" s="57" t="n">
        <v>9701.594456166</v>
      </c>
      <c r="F30" s="57" t="n">
        <v>8598.546695344001</v>
      </c>
    </row>
    <row r="31">
      <c r="B31" s="56" t="inlineStr">
        <is>
          <t>Total borrowings</t>
        </is>
      </c>
      <c r="C31" s="58" t="n">
        <v>20306.116409682</v>
      </c>
      <c r="D31" s="58" t="n">
        <v>19930.172643525</v>
      </c>
      <c r="E31" s="58" t="n">
        <v>23429.11431765</v>
      </c>
      <c r="F31" s="58" t="n">
        <v>22158.890775085</v>
      </c>
    </row>
    <row r="32">
      <c r="B32" s="56" t="inlineStr">
        <is>
          <t>Retained earnings</t>
        </is>
      </c>
      <c r="C32" s="57" t="n">
        <v>14188.327441227</v>
      </c>
      <c r="D32" s="57" t="n">
        <v>15154.898414399</v>
      </c>
      <c r="E32" s="57" t="n">
        <v>5714.405436127</v>
      </c>
      <c r="F32" s="57" t="n">
        <v>7932.972302376</v>
      </c>
    </row>
    <row r="33">
      <c r="B33" s="56" t="inlineStr">
        <is>
          <t>Total assets</t>
        </is>
      </c>
      <c r="C33" s="58" t="n">
        <v>46427.544502056</v>
      </c>
      <c r="D33" s="58" t="n">
        <v>49472.143167469</v>
      </c>
      <c r="E33" s="58" t="n">
        <v>56916.23786641</v>
      </c>
      <c r="F33" s="58" t="n">
        <v>57327.010309745</v>
      </c>
    </row>
    <row r="34">
      <c r="B34" s="56" t="inlineStr">
        <is>
          <t>Total liabilities</t>
        </is>
      </c>
      <c r="C34" s="57" t="n">
        <v>27873.959220523</v>
      </c>
      <c r="D34" s="57" t="n">
        <v>29955.72594307</v>
      </c>
      <c r="E34" s="57" t="n">
        <v>39115.666255903</v>
      </c>
      <c r="F34" s="57" t="n">
        <v>37307.871832989</v>
      </c>
    </row>
    <row r="35">
      <c r="B35" s="56" t="inlineStr">
        <is>
          <t>Total equity</t>
        </is>
      </c>
      <c r="C35" s="58" t="n">
        <v>18553.585281533</v>
      </c>
      <c r="D35" s="58" t="n">
        <v>19516.417224399</v>
      </c>
      <c r="E35" s="58" t="n">
        <v>17800.571610507</v>
      </c>
      <c r="F35" s="58" t="n">
        <v>20019.138476756</v>
      </c>
    </row>
    <row r="36">
      <c r="B36" s="6" t="inlineStr">
        <is>
          <t>Assets − liabilities − equity</t>
        </is>
      </c>
      <c r="C36" s="63">
        <f>IF(OR(NOT(ISNUMBER(C33)),NOT(ISNUMBER(C34)),NOT(ISNUMBER(C35))),"N/D",C33-C34-C35)</f>
        <v/>
      </c>
      <c r="D36" s="63">
        <f>IF(OR(NOT(ISNUMBER(D33)),NOT(ISNUMBER(D34)),NOT(ISNUMBER(D35))),"N/D",D33-D34-D35)</f>
        <v/>
      </c>
      <c r="E36" s="63">
        <f>IF(OR(NOT(ISNUMBER(E33)),NOT(ISNUMBER(E34)),NOT(ISNUMBER(E35))),"N/D",E33-E34-E35)</f>
        <v/>
      </c>
      <c r="F36" s="63">
        <f>IF(OR(NOT(ISNUMBER(F33)),NOT(ISNUMBER(F34)),NOT(ISNUMBER(F35))),"N/D",F33-F34-F35)</f>
        <v/>
      </c>
    </row>
    <row r="38" ht="21" customHeight="1">
      <c r="B38" s="5" t="inlineStr">
        <is>
          <t>CASH-FLOW STATEMENT</t>
        </is>
      </c>
    </row>
    <row r="39">
      <c r="B39" s="56" t="inlineStr">
        <is>
          <t>Depreciation and amortization</t>
        </is>
      </c>
      <c r="C39" s="58" t="n">
        <v>1449.207883056</v>
      </c>
      <c r="D39" s="58" t="n">
        <v>1086.316535865</v>
      </c>
      <c r="E39" s="58" t="n">
        <v>775.210194149</v>
      </c>
      <c r="F39" s="58" t="n">
        <v>137.829667906</v>
      </c>
    </row>
    <row r="40">
      <c r="B40" s="56" t="inlineStr">
        <is>
          <t>Cash flow from operations</t>
        </is>
      </c>
      <c r="C40" s="57" t="n">
        <v>2357.297032409</v>
      </c>
      <c r="D40" s="57" t="n">
        <v>6243.078429249</v>
      </c>
      <c r="E40" s="57" t="n">
        <v>5016.731367885</v>
      </c>
      <c r="F40" s="57" t="n">
        <v>863.686766977</v>
      </c>
    </row>
    <row r="41">
      <c r="B41" s="56" t="inlineStr">
        <is>
          <t>Cash flow from investing</t>
        </is>
      </c>
      <c r="C41" s="58" t="n">
        <v>-8805.103942799</v>
      </c>
      <c r="D41" s="58" t="n">
        <v>-3477.040205461</v>
      </c>
      <c r="E41" s="58" t="n">
        <v>12.070378478</v>
      </c>
      <c r="F41" s="58" t="n">
        <v>140.146492181</v>
      </c>
    </row>
    <row r="42">
      <c r="B42" s="56" t="inlineStr">
        <is>
          <t>Cash flow from financing</t>
        </is>
      </c>
      <c r="C42" s="57" t="n">
        <v>7212.483470833</v>
      </c>
      <c r="D42" s="57" t="n">
        <v>-3125.943766152</v>
      </c>
      <c r="E42" s="57" t="n">
        <v>-5230.832237405</v>
      </c>
      <c r="F42" s="57" t="n">
        <v>-1270.223542565</v>
      </c>
    </row>
    <row r="43">
      <c r="B43" s="56" t="inlineStr">
        <is>
          <t>Opening cash</t>
        </is>
      </c>
      <c r="C43" s="64" t="inlineStr">
        <is>
          <t>N/D</t>
        </is>
      </c>
      <c r="D43" s="64" t="inlineStr">
        <is>
          <t>N/D</t>
        </is>
      </c>
      <c r="E43" s="64" t="inlineStr">
        <is>
          <t>N/D</t>
        </is>
      </c>
      <c r="F43" s="64" t="inlineStr">
        <is>
          <t>N/D</t>
        </is>
      </c>
    </row>
    <row r="44">
      <c r="B44" s="56" t="inlineStr">
        <is>
          <t>FX effect</t>
        </is>
      </c>
      <c r="C44" s="65" t="inlineStr">
        <is>
          <t>N/D</t>
        </is>
      </c>
      <c r="D44" s="65" t="inlineStr">
        <is>
          <t>N/D</t>
        </is>
      </c>
      <c r="E44" s="65" t="inlineStr">
        <is>
          <t>N/D</t>
        </is>
      </c>
      <c r="F44" s="65" t="inlineStr">
        <is>
          <t>N/D</t>
        </is>
      </c>
    </row>
    <row r="45">
      <c r="B45" s="56" t="inlineStr">
        <is>
          <t>Closing cash</t>
        </is>
      </c>
      <c r="C45" s="64" t="inlineStr">
        <is>
          <t>N/D</t>
        </is>
      </c>
      <c r="D45" s="64" t="inlineStr">
        <is>
          <t>N/D</t>
        </is>
      </c>
      <c r="E45" s="64" t="inlineStr">
        <is>
          <t>N/D</t>
        </is>
      </c>
      <c r="F45" s="64" t="inlineStr">
        <is>
          <t>N/D</t>
        </is>
      </c>
    </row>
    <row r="46">
      <c r="B46" s="56" t="inlineStr">
        <is>
          <t>Cash CapEx</t>
        </is>
      </c>
      <c r="C46" s="57" t="n">
        <v>-316.883339058</v>
      </c>
      <c r="D46" s="57" t="n">
        <v>-75.317052553</v>
      </c>
      <c r="E46" s="57" t="n">
        <v>-126.099723642</v>
      </c>
      <c r="F46" s="57" t="n">
        <v>-116.154581487</v>
      </c>
    </row>
    <row r="47">
      <c r="B47" s="6" t="inlineStr">
        <is>
          <t>CFO less CapEx</t>
        </is>
      </c>
      <c r="C47" s="66">
        <f>C40+C46</f>
        <v/>
      </c>
      <c r="D47" s="66">
        <f>D40+D46</f>
        <v/>
      </c>
      <c r="E47" s="66">
        <f>E40+E46</f>
        <v/>
      </c>
      <c r="F47" s="66">
        <f>F40+F46</f>
        <v/>
      </c>
    </row>
    <row r="48">
      <c r="B48" s="6" t="inlineStr">
        <is>
          <t>CFO / NPAT</t>
        </is>
      </c>
      <c r="C48" s="67">
        <f>C40/C20</f>
        <v/>
      </c>
      <c r="D48" s="67">
        <f>D40/D20</f>
        <v/>
      </c>
      <c r="E48" s="67">
        <f>E40/E20</f>
        <v/>
      </c>
      <c r="F48" s="67">
        <f>F40/F20</f>
        <v/>
      </c>
    </row>
  </sheetData>
  <mergeCells count="10">
    <mergeCell ref="A1:J1"/>
    <mergeCell ref="H5:J7"/>
    <mergeCell ref="B38:F38"/>
    <mergeCell ref="H28:J28"/>
    <mergeCell ref="H27:J27"/>
    <mergeCell ref="B23:F23"/>
    <mergeCell ref="A2:J2"/>
    <mergeCell ref="H26:J26"/>
    <mergeCell ref="B9:F9"/>
    <mergeCell ref="H29:J29"/>
  </mergeCell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00A6A6"/>
    <outlinePr summaryBelow="1" summaryRight="1"/>
    <pageSetUpPr fitToPage="1"/>
  </sheetPr>
  <dimension ref="A1:N42"/>
  <sheetViews>
    <sheetView showGridLines="0" zoomScale="82" workbookViewId="0">
      <pane ySplit="4" topLeftCell="A5" activePane="bottomLeft" state="frozen"/>
      <selection pane="bottomLeft" activeCell="A1" sqref="A1"/>
    </sheetView>
  </sheetViews>
  <sheetFormatPr baseColWidth="8" defaultRowHeight="15"/>
  <cols>
    <col width="35" customWidth="1" min="1" max="1"/>
    <col width="17" customWidth="1" min="2" max="2"/>
    <col width="15" customWidth="1" min="3" max="3"/>
    <col width="18" customWidth="1" min="4" max="4"/>
    <col width="3" customWidth="1" min="5" max="5"/>
    <col width="34" customWidth="1" min="6" max="6"/>
    <col width="17" customWidth="1" min="7" max="7"/>
    <col width="15" customWidth="1" min="8" max="8"/>
    <col width="18" customWidth="1" min="9" max="9"/>
    <col width="3" customWidth="1" min="10" max="10"/>
    <col width="38" customWidth="1" min="11" max="11"/>
    <col width="17" customWidth="1" min="12" max="12"/>
    <col width="15" customWidth="1" min="13" max="13"/>
    <col width="24" customWidth="1" min="14" max="14"/>
  </cols>
  <sheetData>
    <row r="1" ht="31" customHeight="1">
      <c r="A1" s="20" t="inlineStr">
        <is>
          <t>Three-statement reconciliation bridges</t>
        </is>
      </c>
    </row>
    <row r="2" ht="23" customHeight="1">
      <c r="A2" s="21" t="inlineStr">
        <is>
          <t>Q1 2026 earnings-to-cash, cash roll-forward, FY2025 retained earnings, normalization and IPO pro forma controls.</t>
        </is>
      </c>
    </row>
    <row r="4">
      <c r="A4" s="68" t="inlineStr">
        <is>
          <t>NPAT → CFO · Q1 2026</t>
        </is>
      </c>
      <c r="F4" s="68" t="inlineStr">
        <is>
          <t>Opening cash → closing cash · Q1 2026</t>
        </is>
      </c>
      <c r="K4" s="68" t="inlineStr">
        <is>
          <t>Retained earnings · FY2025</t>
        </is>
      </c>
    </row>
    <row r="5">
      <c r="A5" s="62" t="inlineStr">
        <is>
          <t>Net profit after tax</t>
        </is>
      </c>
      <c r="B5" s="69" t="n">
        <v>2218.566866249</v>
      </c>
      <c r="F5" s="62" t="inlineStr">
        <is>
          <t>Opening cash</t>
        </is>
      </c>
      <c r="G5" s="69" t="n">
        <v>3578.154917657</v>
      </c>
      <c r="K5" s="62" t="inlineStr">
        <is>
          <t>Opening retained earnings</t>
        </is>
      </c>
      <c r="L5" s="69" t="n">
        <v>15154.898414399</v>
      </c>
    </row>
    <row r="6">
      <c r="A6" s="61" t="inlineStr">
        <is>
          <t>Add: P&amp;L income-tax expense</t>
        </is>
      </c>
      <c r="B6" s="70" t="n">
        <v>556.874594506</v>
      </c>
      <c r="F6" s="61" t="inlineStr">
        <is>
          <t>Cash flow from operations</t>
        </is>
      </c>
      <c r="G6" s="70" t="n">
        <v>863.686766977</v>
      </c>
      <c r="K6" s="61" t="inlineStr">
        <is>
          <t>NPAT attributable to parent</t>
        </is>
      </c>
      <c r="L6" s="70" t="n">
        <v>5801.785231728</v>
      </c>
    </row>
    <row r="7">
      <c r="A7" s="62" t="inlineStr">
        <is>
          <t>Depreciation and amortization</t>
        </is>
      </c>
      <c r="B7" s="69" t="n">
        <v>137.829667906</v>
      </c>
      <c r="F7" s="62" t="inlineStr">
        <is>
          <t>Cash flow from investing</t>
        </is>
      </c>
      <c r="G7" s="69" t="n">
        <v>140.146492181</v>
      </c>
      <c r="K7" s="62" t="inlineStr">
        <is>
          <t>Dividends paid</t>
        </is>
      </c>
      <c r="L7" s="69" t="n">
        <v>-8700</v>
      </c>
    </row>
    <row r="8">
      <c r="A8" s="61" t="inlineStr">
        <is>
          <t>Provisions / reversals</t>
        </is>
      </c>
      <c r="B8" s="70" t="n">
        <v>148.321568632</v>
      </c>
      <c r="F8" s="61" t="inlineStr">
        <is>
          <t>Cash flow from financing</t>
        </is>
      </c>
      <c r="G8" s="70" t="n">
        <v>-1270.223542565</v>
      </c>
      <c r="K8" s="61" t="inlineStr">
        <is>
          <t>Capitalisation / other equity movements</t>
        </is>
      </c>
      <c r="L8" s="70" t="n">
        <v>-6542.27821</v>
      </c>
    </row>
    <row r="9">
      <c r="A9" s="62" t="inlineStr">
        <is>
          <t>Non-cash FX revaluation</t>
        </is>
      </c>
      <c r="B9" s="69" t="n">
        <v>-0.913927127</v>
      </c>
      <c r="F9" s="62" t="inlineStr">
        <is>
          <t>FX effect</t>
        </is>
      </c>
      <c r="G9" s="69" t="n">
        <v>0.913927127</v>
      </c>
      <c r="K9" t="inlineStr">
        <is>
          <t>Calculated total</t>
        </is>
      </c>
      <c r="L9" s="71">
        <f>SUM(L5:L8)</f>
        <v/>
      </c>
    </row>
    <row r="10">
      <c r="A10" s="61" t="inlineStr">
        <is>
          <t>Remove investing profit</t>
        </is>
      </c>
      <c r="B10" s="70" t="n">
        <v>-478.814737469</v>
      </c>
      <c r="F10" t="inlineStr">
        <is>
          <t>Calculated total</t>
        </is>
      </c>
      <c r="G10" s="71">
        <f>SUM(G5:G9)</f>
        <v/>
      </c>
      <c r="K10" t="inlineStr">
        <is>
          <t>Reported total</t>
        </is>
      </c>
      <c r="L10" s="72" t="n">
        <v>5714.405436127</v>
      </c>
    </row>
    <row r="11">
      <c r="A11" s="62" t="inlineStr">
        <is>
          <t>Add back interest expense</t>
        </is>
      </c>
      <c r="B11" s="69" t="n">
        <v>324.569874029</v>
      </c>
      <c r="F11" t="inlineStr">
        <is>
          <t>Reported total</t>
        </is>
      </c>
      <c r="G11" s="72" t="n">
        <v>3312.678561377</v>
      </c>
      <c r="K11" t="inlineStr">
        <is>
          <t>Difference</t>
        </is>
      </c>
      <c r="L11" s="71">
        <f>L10-L9</f>
        <v/>
      </c>
    </row>
    <row r="12">
      <c r="A12" s="61" t="inlineStr">
        <is>
          <t>Change in receivables</t>
        </is>
      </c>
      <c r="B12" s="70" t="n">
        <v>-79.604723992</v>
      </c>
      <c r="F12" t="inlineStr">
        <is>
          <t>Difference</t>
        </is>
      </c>
      <c r="G12" s="71">
        <f>G11-G10</f>
        <v/>
      </c>
      <c r="K12" t="inlineStr">
        <is>
          <t>Control</t>
        </is>
      </c>
      <c r="L12" s="56">
        <f>IF(ABS(L11)&lt;0.001,"PASS","FAIL")</f>
        <v/>
      </c>
    </row>
    <row r="13">
      <c r="A13" s="62" t="inlineStr">
        <is>
          <t>Change in inventory</t>
        </is>
      </c>
      <c r="B13" s="69" t="n">
        <v>-434.783124414</v>
      </c>
      <c r="F13" t="inlineStr">
        <is>
          <t>Control</t>
        </is>
      </c>
      <c r="G13" s="56">
        <f>IF(ABS(G12)&lt;0.001,"PASS","FAIL")</f>
        <v/>
      </c>
      <c r="K13" s="73" t="inlineStr">
        <is>
          <t>FY2025 residual captures the disclosed capital restructuring and other equity movements; it is not treated as an operating adjustment.</t>
        </is>
      </c>
    </row>
    <row r="14">
      <c r="A14" s="61" t="inlineStr">
        <is>
          <t>Change in payables</t>
        </is>
      </c>
      <c r="B14" s="70" t="n">
        <v>-465.976745678</v>
      </c>
      <c r="F14" s="73" t="inlineStr">
        <is>
          <t>All components preserve the reported cash-flow sign convention.</t>
        </is>
      </c>
    </row>
    <row r="15">
      <c r="A15" s="62" t="inlineStr">
        <is>
          <t>Change in prepayments</t>
        </is>
      </c>
      <c r="B15" s="69" t="n">
        <v>33.250162148</v>
      </c>
    </row>
    <row r="16">
      <c r="A16" s="61" t="inlineStr">
        <is>
          <t>Interest paid</t>
        </is>
      </c>
      <c r="B16" s="70" t="n">
        <v>-315.36801814</v>
      </c>
    </row>
    <row r="17">
      <c r="A17" s="62" t="inlineStr">
        <is>
          <t>Corporate income tax paid</t>
        </is>
      </c>
      <c r="B17" s="69" t="n">
        <v>-780.264689673</v>
      </c>
    </row>
    <row r="18">
      <c r="A18" t="inlineStr">
        <is>
          <t>Calculated total</t>
        </is>
      </c>
      <c r="B18" s="71">
        <f>SUM(B5:B17)</f>
        <v/>
      </c>
    </row>
    <row r="19">
      <c r="A19" t="inlineStr">
        <is>
          <t>Reported total</t>
        </is>
      </c>
      <c r="B19" s="72" t="n">
        <v>863.686766977</v>
      </c>
    </row>
    <row r="20">
      <c r="A20" t="inlineStr">
        <is>
          <t>Difference</t>
        </is>
      </c>
      <c r="B20" s="71">
        <f>B19-B18</f>
        <v/>
      </c>
    </row>
    <row r="21">
      <c r="A21" t="inlineStr">
        <is>
          <t>Control</t>
        </is>
      </c>
      <c r="B21" s="56">
        <f>IF(ABS(B20)&lt;0.001,"PASS","FAIL")</f>
        <v/>
      </c>
    </row>
    <row r="22">
      <c r="A22" s="73" t="inlineStr">
        <is>
          <t>All components preserve the reported cash-flow sign convention.</t>
        </is>
      </c>
    </row>
    <row r="23"/>
    <row r="24"/>
    <row r="27" ht="21" customHeight="1">
      <c r="A27" s="5" t="inlineStr">
        <is>
          <t>FY2025 REPORTED → MANAGEMENT LFL NORMALIZATION</t>
        </is>
      </c>
    </row>
    <row r="28" ht="30" customHeight="1">
      <c r="A28" s="14" t="inlineStr">
        <is>
          <t>Reported item</t>
        </is>
      </c>
      <c r="B28" s="14" t="inlineStr">
        <is>
          <t>Reported</t>
        </is>
      </c>
      <c r="C28" s="14" t="inlineStr">
        <is>
          <t>Adjustment</t>
        </is>
      </c>
      <c r="D28" s="14" t="inlineStr">
        <is>
          <t>LFL comparator</t>
        </is>
      </c>
      <c r="E28" s="14" t="inlineStr">
        <is>
          <t>Treatment</t>
        </is>
      </c>
      <c r="F28" s="14" t="inlineStr">
        <is>
          <t>Reason</t>
        </is>
      </c>
      <c r="G28" s="74" t="n"/>
      <c r="H28" s="75" t="n"/>
      <c r="I28" s="14" t="n"/>
    </row>
    <row r="29" ht="42" customHeight="1">
      <c r="A29" s="18" t="inlineStr">
        <is>
          <t>Net revenue</t>
        </is>
      </c>
      <c r="B29" s="76" t="n">
        <v>109479.188452846</v>
      </c>
      <c r="C29" s="76" t="n">
        <v>-2479.188452846</v>
      </c>
      <c r="D29" s="76" t="n">
        <v>107000</v>
      </c>
      <c r="E29" s="18" t="inlineStr">
        <is>
          <t>management_lfl_comparator</t>
        </is>
      </c>
      <c r="F29" s="18" t="inlineStr">
        <is>
          <t>Management's FY2025 LFL perimeter excludes An Khang and AvaKids and includes Thợ Điện Máy Xanh; this comparator does not overwrite the statutory actual.</t>
        </is>
      </c>
      <c r="G29" s="18" t="n"/>
      <c r="H29" s="18" t="n"/>
      <c r="I29" s="18" t="inlineStr">
        <is>
          <t>DMX_FS_2025_C|DMX_IPO_PRESENTATION_2026</t>
        </is>
      </c>
    </row>
    <row r="30" ht="42" customHeight="1">
      <c r="A30" s="16" t="inlineStr">
        <is>
          <t>NPAT attributable to parent</t>
        </is>
      </c>
      <c r="B30" s="77" t="n">
        <v>5801.785231728</v>
      </c>
      <c r="C30" s="77" t="n">
        <v>273.214768272</v>
      </c>
      <c r="D30" s="77" t="n">
        <v>6075</v>
      </c>
      <c r="E30" s="16" t="inlineStr">
        <is>
          <t>management_lfl_comparator</t>
        </is>
      </c>
      <c r="F30" s="16" t="inlineStr">
        <is>
          <t>Only the disclosed management-adjusted headline is bridged; no unsupported allocation is made to EBIT, working capital or cash flow.</t>
        </is>
      </c>
      <c r="G30" s="16" t="n"/>
      <c r="H30" s="16" t="n"/>
      <c r="I30" s="16" t="inlineStr">
        <is>
          <t>DMX_FS_2025_C|DMX_IPO_PRESENTATION_2026</t>
        </is>
      </c>
    </row>
    <row r="31" ht="42" customHeight="1">
      <c r="A31" s="18" t="inlineStr">
        <is>
          <t>Operating profit</t>
        </is>
      </c>
      <c r="B31" s="76" t="n">
        <v>7240.395752425</v>
      </c>
      <c r="C31" s="18" t="inlineStr">
        <is>
          <t>N/D</t>
        </is>
      </c>
      <c r="D31" s="18" t="inlineStr">
        <is>
          <t>N/D</t>
        </is>
      </c>
      <c r="E31" s="18" t="inlineStr">
        <is>
          <t>not_adjusted</t>
        </is>
      </c>
      <c r="F31" s="18" t="inlineStr">
        <is>
          <t>No sufficiently granular disclosure exists to normalize the statutory operating-profit line across the perimeter change.</t>
        </is>
      </c>
      <c r="G31" s="18" t="n"/>
      <c r="H31" s="18" t="n"/>
      <c r="I31" s="18" t="inlineStr">
        <is>
          <t>DMX_FS_2025_C</t>
        </is>
      </c>
    </row>
    <row r="32" ht="42" customHeight="1">
      <c r="A32" s="16" t="inlineStr">
        <is>
          <t>Cash and cash equivalents</t>
        </is>
      </c>
      <c r="B32" s="77" t="n">
        <v>3578.154917657</v>
      </c>
      <c r="C32" s="16" t="inlineStr">
        <is>
          <t>N/D</t>
        </is>
      </c>
      <c r="D32" s="16" t="inlineStr">
        <is>
          <t>N/D</t>
        </is>
      </c>
      <c r="E32" s="16" t="inlineStr">
        <is>
          <t>not_adjusted</t>
        </is>
      </c>
      <c r="F32" s="16" t="inlineStr">
        <is>
          <t>Minimum operating cash is not disclosed; cash-like balances are not automatically classified as excess cash.</t>
        </is>
      </c>
      <c r="G32" s="16" t="n"/>
      <c r="H32" s="16" t="n"/>
      <c r="I32" s="16" t="inlineStr">
        <is>
          <t>DMX_FS_2025_C</t>
        </is>
      </c>
    </row>
    <row r="33" ht="42" customHeight="1">
      <c r="A33" s="18" t="inlineStr">
        <is>
          <t>Total debt</t>
        </is>
      </c>
      <c r="B33" s="76" t="n">
        <v>23429.11431765</v>
      </c>
      <c r="C33" s="18" t="inlineStr">
        <is>
          <t>N/D</t>
        </is>
      </c>
      <c r="D33" s="18" t="inlineStr">
        <is>
          <t>N/D</t>
        </is>
      </c>
      <c r="E33" s="18" t="inlineStr">
        <is>
          <t>not_adjusted</t>
        </is>
      </c>
      <c r="F33" s="18" t="inlineStr">
        <is>
          <t>Lease and debt conventions are not sufficiently disclosed for a supported adjusted-net-debt figure.</t>
        </is>
      </c>
      <c r="G33" s="18" t="n"/>
      <c r="H33" s="18" t="n"/>
      <c r="I33" s="18" t="inlineStr">
        <is>
          <t>DMX_FS_2025_C</t>
        </is>
      </c>
    </row>
    <row r="36" ht="21" customHeight="1">
      <c r="A36" s="5" t="inlineStr">
        <is>
          <t>POST-IPO PRO FORMA — TRANSACTION, NOT REPORTED H1 ACTUAL</t>
        </is>
      </c>
    </row>
    <row r="38">
      <c r="A38" s="78" t="inlineStr">
        <is>
          <t>Gross primary proceeds</t>
        </is>
      </c>
      <c r="B38" s="79" t="n">
        <v>13315.08</v>
      </c>
      <c r="C38" s="78" t="inlineStr">
        <is>
          <t>Official actual</t>
        </is>
      </c>
      <c r="D38" s="78" t="n"/>
      <c r="E38" s="78" t="n"/>
      <c r="F38" s="78" t="n"/>
      <c r="G38" s="78" t="n"/>
      <c r="H38" s="78" t="n"/>
      <c r="I38" s="78" t="n"/>
    </row>
    <row r="39">
      <c r="A39" s="78" t="inlineStr">
        <is>
          <t>Estimated issue costs</t>
        </is>
      </c>
      <c r="B39" s="79" t="n">
        <v>-100</v>
      </c>
      <c r="C39" s="78" t="inlineStr">
        <is>
          <t>Resolution 15; estimate at 6-Jul-2026</t>
        </is>
      </c>
      <c r="D39" s="78" t="n"/>
      <c r="E39" s="78" t="n"/>
      <c r="F39" s="78" t="n"/>
      <c r="G39" s="78" t="n"/>
      <c r="H39" s="78" t="n"/>
      <c r="I39" s="78" t="n"/>
    </row>
    <row r="40">
      <c r="A40" s="80" t="inlineStr">
        <is>
          <t>Estimated net proceeds</t>
        </is>
      </c>
      <c r="B40" s="81">
        <f>B38+B39</f>
        <v/>
      </c>
      <c r="C40" s="80" t="inlineStr">
        <is>
          <t>VND 13,215.08bn</t>
        </is>
      </c>
      <c r="D40" s="80" t="n"/>
      <c r="E40" s="80" t="n"/>
      <c r="F40" s="80" t="n"/>
      <c r="G40" s="80" t="n"/>
      <c r="H40" s="80" t="n"/>
      <c r="I40" s="80" t="n"/>
    </row>
    <row r="41">
      <c r="A41" s="80" t="inlineStr">
        <is>
          <t>Debt repayment plan</t>
        </is>
      </c>
      <c r="B41" s="81">
        <f>-B40</f>
        <v/>
      </c>
      <c r="C41" s="80" t="inlineStr">
        <is>
          <t>Earmarked for 2026; not evidence of completed repayment</t>
        </is>
      </c>
      <c r="D41" s="80" t="n"/>
      <c r="E41" s="80" t="n"/>
      <c r="F41" s="80" t="n"/>
      <c r="G41" s="80" t="n"/>
      <c r="H41" s="80" t="n"/>
      <c r="I41" s="80" t="n"/>
    </row>
    <row r="42">
      <c r="A42" s="80" t="inlineStr">
        <is>
          <t>Pro forma liquidity retained</t>
        </is>
      </c>
      <c r="B42" s="81">
        <f>SUM(B40:B41)</f>
        <v/>
      </c>
      <c r="C42" s="80" t="inlineStr">
        <is>
          <t>Zero under disclosed use-of-proceeds plan</t>
        </is>
      </c>
      <c r="D42" s="80" t="n"/>
      <c r="E42" s="80" t="n"/>
      <c r="F42" s="80" t="n"/>
      <c r="G42" s="80" t="n"/>
      <c r="H42" s="80" t="n"/>
      <c r="I42" s="80" t="n"/>
    </row>
  </sheetData>
  <mergeCells count="21">
    <mergeCell ref="F33:H33"/>
    <mergeCell ref="A4:D4"/>
    <mergeCell ref="C39:I39"/>
    <mergeCell ref="F32:H32"/>
    <mergeCell ref="K13:N15"/>
    <mergeCell ref="A27:I27"/>
    <mergeCell ref="C38:I38"/>
    <mergeCell ref="A1:N1"/>
    <mergeCell ref="A22:D24"/>
    <mergeCell ref="K4:N4"/>
    <mergeCell ref="F14:I16"/>
    <mergeCell ref="F28:H28"/>
    <mergeCell ref="F31:H31"/>
    <mergeCell ref="F4:I4"/>
    <mergeCell ref="C42:I42"/>
    <mergeCell ref="A2:N2"/>
    <mergeCell ref="F29:H29"/>
    <mergeCell ref="C41:I41"/>
    <mergeCell ref="C40:I40"/>
    <mergeCell ref="A36:I36"/>
    <mergeCell ref="F30:H30"/>
  </mergeCells>
  <conditionalFormatting sqref="B21">
    <cfRule type="expression" priority="1" dxfId="0">
      <formula>LEFT(B21,4)="PASS"</formula>
    </cfRule>
    <cfRule type="expression" priority="2" dxfId="1">
      <formula>LEFT(B21,4)="FAIL"</formula>
    </cfRule>
    <cfRule type="expression" priority="3" dxfId="2">
      <formula>LEFT(B21,4)="WARN"</formula>
    </cfRule>
  </conditionalFormatting>
  <conditionalFormatting sqref="G13">
    <cfRule type="expression" priority="4" dxfId="0">
      <formula>LEFT(G13,4)="PASS"</formula>
    </cfRule>
    <cfRule type="expression" priority="5" dxfId="1">
      <formula>LEFT(G13,4)="FAIL"</formula>
    </cfRule>
    <cfRule type="expression" priority="6" dxfId="2">
      <formula>LEFT(G13,4)="WARN"</formula>
    </cfRule>
  </conditionalFormatting>
  <conditionalFormatting sqref="L12">
    <cfRule type="expression" priority="7" dxfId="0">
      <formula>LEFT(L12,4)="PASS"</formula>
    </cfRule>
    <cfRule type="expression" priority="8" dxfId="1">
      <formula>LEFT(L12,4)="FAIL"</formula>
    </cfRule>
    <cfRule type="expression" priority="9" dxfId="2">
      <formula>LEFT(L12,4)="WARN"</formula>
    </cfRule>
  </conditionalFormatting>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7.xml><?xml version="1.0" encoding="utf-8"?>
<worksheet xmlns="http://schemas.openxmlformats.org/spreadsheetml/2006/main">
  <sheetPr>
    <tabColor rgb="0000A6A6"/>
    <outlinePr summaryBelow="1" summaryRight="1"/>
    <pageSetUpPr fitToPage="1"/>
  </sheetPr>
  <dimension ref="A1:K36"/>
  <sheetViews>
    <sheetView showGridLines="0" zoomScale="82"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7" customWidth="1" min="3" max="3"/>
    <col width="17" customWidth="1" min="4" max="4"/>
    <col width="17" customWidth="1" min="5" max="5"/>
    <col width="4" customWidth="1" min="6" max="6"/>
    <col width="25" customWidth="1" min="7" max="7"/>
    <col width="34" customWidth="1" min="8" max="8"/>
    <col width="38" customWidth="1" min="9" max="9"/>
    <col width="34" customWidth="1" min="10" max="10"/>
    <col width="16" customWidth="1" min="11" max="11"/>
  </cols>
  <sheetData>
    <row r="1" ht="31" customHeight="1">
      <c r="A1" s="20" t="inlineStr">
        <is>
          <t>Working capital and quality of earnings</t>
        </is>
      </c>
    </row>
    <row r="2" ht="23" customHeight="1">
      <c r="A2" s="21" t="inlineStr">
        <is>
          <t>Trade-balance days use average opening/closing balances and actual elapsed days; Q1 remains seasonality-sensitive.</t>
        </is>
      </c>
    </row>
    <row r="4" ht="30" customHeight="1">
      <c r="B4" s="14" t="inlineStr">
        <is>
          <t>Metric</t>
        </is>
      </c>
      <c r="C4" s="14" t="inlineStr">
        <is>
          <t>FY2024A</t>
        </is>
      </c>
      <c r="D4" s="14" t="inlineStr">
        <is>
          <t>FY2025A</t>
        </is>
      </c>
      <c r="E4" s="14" t="inlineStr">
        <is>
          <t>Q1 2026A</t>
        </is>
      </c>
      <c r="G4" s="82" t="inlineStr">
        <is>
          <t>Senior interpretation: CCC improved from roughly 61 days in FY2024 to 52 days in FY2025. Q1 2026 screens near 48 days on a 90-day YTD denominator, but this is not directly equivalent to a full-year seasonal outcome.</t>
        </is>
      </c>
    </row>
    <row r="5">
      <c r="B5" s="83" t="inlineStr">
        <is>
          <t>Actual period days</t>
        </is>
      </c>
      <c r="C5" s="64" t="n">
        <v>366</v>
      </c>
      <c r="D5" s="64" t="n">
        <v>365</v>
      </c>
      <c r="E5" s="64" t="n">
        <v>90</v>
      </c>
    </row>
    <row r="6">
      <c r="B6" s="84" t="inlineStr">
        <is>
          <t>Average net inventory</t>
        </is>
      </c>
      <c r="C6" s="85">
        <f>('3Y_Statements'!C29+'3Y_Statements'!D29)/2</f>
        <v/>
      </c>
      <c r="D6" s="85">
        <f>('3Y_Statements'!D29+'3Y_Statements'!E29)/2</f>
        <v/>
      </c>
      <c r="E6" s="85">
        <f>('3Y_Statements'!E29+'3Y_Statements'!F29)/2</f>
        <v/>
      </c>
    </row>
    <row r="7">
      <c r="B7" s="83" t="inlineStr">
        <is>
          <t>Average trade receivables</t>
        </is>
      </c>
      <c r="C7" s="86">
        <f>('3Y_Statements'!C26+'3Y_Statements'!D26)/2</f>
        <v/>
      </c>
      <c r="D7" s="86">
        <f>('3Y_Statements'!D26+'3Y_Statements'!E26)/2</f>
        <v/>
      </c>
      <c r="E7" s="86">
        <f>('3Y_Statements'!E26+'3Y_Statements'!F26)/2</f>
        <v/>
      </c>
    </row>
    <row r="8">
      <c r="B8" s="84" t="inlineStr">
        <is>
          <t>Average trade payables</t>
        </is>
      </c>
      <c r="C8" s="85">
        <f>('3Y_Statements'!C30+'3Y_Statements'!D30)/2</f>
        <v/>
      </c>
      <c r="D8" s="85">
        <f>('3Y_Statements'!D30+'3Y_Statements'!E30)/2</f>
        <v/>
      </c>
      <c r="E8" s="85">
        <f>('3Y_Statements'!E30+'3Y_Statements'!F30)/2</f>
        <v/>
      </c>
    </row>
    <row r="10">
      <c r="B10" s="87" t="inlineStr">
        <is>
          <t>Days inventory outstanding</t>
        </is>
      </c>
      <c r="C10" s="88">
        <f>C6/ABS('3Y_Statements'!D11)*C5</f>
        <v/>
      </c>
      <c r="D10" s="88">
        <f>D6/ABS('3Y_Statements'!E11)*D5</f>
        <v/>
      </c>
      <c r="E10" s="88">
        <f>E6/ABS('3Y_Statements'!F11)*E5</f>
        <v/>
      </c>
    </row>
    <row r="11">
      <c r="B11" s="89" t="inlineStr">
        <is>
          <t>Days sales outstanding</t>
        </is>
      </c>
      <c r="C11" s="90">
        <f>C7/'3Y_Statements'!D10*C5</f>
        <v/>
      </c>
      <c r="D11" s="90">
        <f>D7/'3Y_Statements'!E10*D5</f>
        <v/>
      </c>
      <c r="E11" s="90">
        <f>E7/'3Y_Statements'!F10*E5</f>
        <v/>
      </c>
    </row>
    <row r="12">
      <c r="B12" s="87" t="inlineStr">
        <is>
          <t>Days payables outstanding</t>
        </is>
      </c>
      <c r="C12" s="88">
        <f>C8/ABS('3Y_Statements'!D11)*C5</f>
        <v/>
      </c>
      <c r="D12" s="88">
        <f>D8/ABS('3Y_Statements'!E11)*D5</f>
        <v/>
      </c>
      <c r="E12" s="88">
        <f>E8/ABS('3Y_Statements'!F11)*E5</f>
        <v/>
      </c>
    </row>
    <row r="13">
      <c r="B13" s="89" t="inlineStr">
        <is>
          <t>Cash conversion cycle</t>
        </is>
      </c>
      <c r="C13" s="90">
        <f>C10+C11-C12</f>
        <v/>
      </c>
      <c r="D13" s="90">
        <f>D10+D11-D12</f>
        <v/>
      </c>
      <c r="E13" s="90">
        <f>E10+E11-E12</f>
        <v/>
      </c>
    </row>
    <row r="15">
      <c r="B15" s="83" t="inlineStr">
        <is>
          <t>CFO / NPAT</t>
        </is>
      </c>
      <c r="C15" s="91">
        <f>'3Y_Statements'!D40/'3Y_Statements'!D20</f>
        <v/>
      </c>
      <c r="D15" s="91">
        <f>'3Y_Statements'!E40/'3Y_Statements'!E20</f>
        <v/>
      </c>
      <c r="E15" s="91">
        <f>'3Y_Statements'!F40/'3Y_Statements'!F20</f>
        <v/>
      </c>
    </row>
    <row r="16">
      <c r="B16" s="84" t="inlineStr">
        <is>
          <t>Cash CapEx / revenue</t>
        </is>
      </c>
      <c r="C16" s="92">
        <f>ABS('3Y_Statements'!D46)/'3Y_Statements'!D10</f>
        <v/>
      </c>
      <c r="D16" s="92">
        <f>ABS('3Y_Statements'!E46)/'3Y_Statements'!E10</f>
        <v/>
      </c>
      <c r="E16" s="92">
        <f>ABS('3Y_Statements'!F46)/'3Y_Statements'!F10</f>
        <v/>
      </c>
    </row>
    <row r="17">
      <c r="B17" s="83" t="inlineStr">
        <is>
          <t>Inventory provision / gross inventory</t>
        </is>
      </c>
      <c r="C17" s="91">
        <f>ABS('3Y_Statements'!D28)/'3Y_Statements'!D27</f>
        <v/>
      </c>
      <c r="D17" s="91">
        <f>ABS('3Y_Statements'!E28)/'3Y_Statements'!E27</f>
        <v/>
      </c>
      <c r="E17" s="91">
        <f>ABS('3Y_Statements'!F28)/'3Y_Statements'!F27</f>
        <v/>
      </c>
    </row>
    <row r="18">
      <c r="B18" s="84" t="inlineStr">
        <is>
          <t>CFO less CapEx</t>
        </is>
      </c>
      <c r="C18" s="85">
        <f>'3Y_Statements'!D47</f>
        <v/>
      </c>
      <c r="D18" s="85">
        <f>'3Y_Statements'!E47</f>
        <v/>
      </c>
      <c r="E18" s="85">
        <f>'3Y_Statements'!F47</f>
        <v/>
      </c>
    </row>
    <row r="21" ht="21" customHeight="1">
      <c r="B21" s="5" t="inlineStr">
        <is>
          <t>QUALITY OF EARNINGS — EVIDENCE, READ-THROUGH, OPEN RISK</t>
        </is>
      </c>
    </row>
    <row r="22" ht="30" customHeight="1">
      <c r="B22" s="14" t="inlineStr">
        <is>
          <t>Indicator</t>
        </is>
      </c>
      <c r="C22" s="14" t="inlineStr">
        <is>
          <t>Observation</t>
        </is>
      </c>
      <c r="D22" s="14" t="n"/>
      <c r="E22" s="14" t="n"/>
      <c r="F22" s="14" t="inlineStr">
        <is>
          <t>Senior read-through</t>
        </is>
      </c>
      <c r="G22" s="14" t="n"/>
      <c r="H22" s="14" t="inlineStr">
        <is>
          <t>What remains at risk</t>
        </is>
      </c>
      <c r="I22" s="14" t="n"/>
      <c r="J22" s="14" t="n"/>
      <c r="K22" s="14" t="inlineStr">
        <is>
          <t>Metric</t>
        </is>
      </c>
    </row>
    <row r="23" ht="54" customHeight="1">
      <c r="B23" s="18" t="inlineStr">
        <is>
          <t>Revenue growth</t>
        </is>
      </c>
      <c r="C23" s="18" t="inlineStr">
        <is>
          <t>Q1 2026 revenue grew strongly year on year.</t>
        </is>
      </c>
      <c r="D23" s="18" t="n"/>
      <c r="E23" s="18" t="n"/>
      <c r="F23" s="18" t="inlineStr">
        <is>
          <t>Operating momentum is broad enough to warrant a full-year follow-through test.</t>
        </is>
      </c>
      <c r="G23" s="18" t="n"/>
      <c r="H23" s="18" t="inlineStr">
        <is>
          <t>A single quarter does not establish sustainability or remove seasonality.</t>
        </is>
      </c>
      <c r="I23" s="18" t="n"/>
      <c r="J23" s="18" t="n"/>
      <c r="K23" s="93" t="n">
        <v>0.2937314873613019</v>
      </c>
    </row>
    <row r="24" ht="54" customHeight="1">
      <c r="B24" s="16" t="inlineStr">
        <is>
          <t>Gross-margin change</t>
        </is>
      </c>
      <c r="C24" s="16" t="inlineStr">
        <is>
          <t>Gross margin expanded by approximately 119 bps year on year.</t>
        </is>
      </c>
      <c r="D24" s="16" t="n"/>
      <c r="E24" s="16" t="n"/>
      <c r="F24" s="16" t="inlineStr">
        <is>
          <t>Mix, pricing and operating leverage appear more supportive than pure volume growth.</t>
        </is>
      </c>
      <c r="G24" s="16" t="n"/>
      <c r="H24" s="16" t="inlineStr">
        <is>
          <t>Category mix, promotions and vendor support may normalize.</t>
        </is>
      </c>
      <c r="I24" s="16" t="n"/>
      <c r="J24" s="16" t="n"/>
      <c r="K24" s="94" t="n">
        <v>0.01184841898089096</v>
      </c>
    </row>
    <row r="25" ht="54" customHeight="1">
      <c r="B25" s="18" t="inlineStr">
        <is>
          <t>CFO / NPAT</t>
        </is>
      </c>
      <c r="C25" s="18" t="inlineStr">
        <is>
          <t>Quarterly cash conversion fell to about 39% from about 168%.</t>
        </is>
      </c>
      <c r="D25" s="18" t="n"/>
      <c r="E25" s="18" t="n"/>
      <c r="F25" s="18" t="inlineStr">
        <is>
          <t>The main swing is working capital, especially supplier funding, plus tax payments.</t>
        </is>
      </c>
      <c r="G25" s="18" t="n"/>
      <c r="H25" s="18" t="inlineStr">
        <is>
          <t>Do not infer earnings manipulation without seasonal and H1 statement evidence.</t>
        </is>
      </c>
      <c r="I25" s="18" t="n"/>
      <c r="J25" s="18" t="n"/>
      <c r="K25" s="93" t="n">
        <v>0.3892994077015411</v>
      </c>
    </row>
    <row r="26" ht="54" customHeight="1">
      <c r="B26" s="16" t="inlineStr">
        <is>
          <t>Payables contribution to CFO</t>
        </is>
      </c>
      <c r="C26" s="16" t="inlineStr">
        <is>
          <t>Payables absorbed cash in Q1 2026 after providing material funding in Q1 2025.</t>
        </is>
      </c>
      <c r="D26" s="16" t="n"/>
      <c r="E26" s="16" t="n"/>
      <c r="F26" s="16" t="inlineStr">
        <is>
          <t>Supplier financing explains more of the CFO gap than receivables or inventory alone.</t>
        </is>
      </c>
      <c r="G26" s="16" t="n"/>
      <c r="H26" s="16" t="inlineStr">
        <is>
          <t>A sustained decline in supplier funding would pressure liquidity.</t>
        </is>
      </c>
      <c r="I26" s="16" t="n"/>
      <c r="J26" s="16" t="n"/>
      <c r="K26" s="77" t="n">
        <v>-465.976745678</v>
      </c>
    </row>
    <row r="27" ht="54" customHeight="1">
      <c r="B27" s="18" t="inlineStr">
        <is>
          <t>Inventory provision coverage</t>
        </is>
      </c>
      <c r="C27" s="18" t="inlineStr">
        <is>
          <t>Provision coverage rose from the FY2025 year-end level.</t>
        </is>
      </c>
      <c r="D27" s="18" t="n"/>
      <c r="E27" s="18" t="n"/>
      <c r="F27" s="18" t="inlineStr">
        <is>
          <t>The balance sheet recognizes more inventory risk as stock expands.</t>
        </is>
      </c>
      <c r="G27" s="18" t="n"/>
      <c r="H27" s="18" t="inlineStr">
        <is>
          <t>Ageing, markdowns and category-level obsolescence remain undisclosed.</t>
        </is>
      </c>
      <c r="I27" s="18" t="n"/>
      <c r="J27" s="18" t="n"/>
      <c r="K27" s="93" t="n">
        <v>0.0314673480909581</v>
      </c>
    </row>
    <row r="28" ht="54" customHeight="1">
      <c r="B28" s="16" t="inlineStr">
        <is>
          <t>Net finance contribution / PBT</t>
        </is>
      </c>
      <c r="C28" s="16" t="inlineStr">
        <is>
          <t>Net finance income contributes to reported profit but is not the primary growth driver.</t>
        </is>
      </c>
      <c r="D28" s="16" t="n"/>
      <c r="E28" s="16" t="n"/>
      <c r="F28" s="16" t="inlineStr">
        <is>
          <t>Core and treasury earnings should remain separately visible.</t>
        </is>
      </c>
      <c r="G28" s="16" t="n"/>
      <c r="H28" s="16" t="inlineStr">
        <is>
          <t>Deposit income may change after IPO proceeds are used to repay debt.</t>
        </is>
      </c>
      <c r="I28" s="16" t="n"/>
      <c r="J28" s="16" t="n"/>
      <c r="K28" s="94" t="n">
        <v>0.06700748058883914</v>
      </c>
    </row>
    <row r="30" ht="21" customHeight="1">
      <c r="B30" s="5" t="inlineStr">
        <is>
          <t>SENIOR CONTROL POINTS</t>
        </is>
      </c>
    </row>
    <row r="31">
      <c r="B31" s="80" t="inlineStr">
        <is>
          <t>• IPO proceeds are primary capital of DMX, not cash received by MWG.</t>
        </is>
      </c>
    </row>
    <row r="32">
      <c r="B32" s="78" t="inlineStr">
        <is>
          <t>• Resolution 15 discloses VND 13,215.08bn estimated net proceeds earmarked for debt repayment; this remains pro forma until disbursement is evidenced.</t>
        </is>
      </c>
    </row>
    <row r="33">
      <c r="B33" s="80" t="inlineStr">
        <is>
          <t>• Cash plus deposits less debt is a liquidity indicator, not automatically distributable excess cash.</t>
        </is>
      </c>
    </row>
    <row r="34">
      <c r="B34" s="78" t="inlineStr">
        <is>
          <t>• Financed-sales mix does not prove DMX bears customer credit risk; lender and risk-transfer terms must be verified.</t>
        </is>
      </c>
    </row>
    <row r="35">
      <c r="B35" s="80" t="inlineStr">
        <is>
          <t>• EraBlue is equity-accounted and must be included once under a method-consistent valuation treatment.</t>
        </is>
      </c>
    </row>
    <row r="36">
      <c r="B36" s="78" t="inlineStr">
        <is>
          <t>• Management LFL FY2025 is a comparator, not a replacement for statutory reported statements.</t>
        </is>
      </c>
    </row>
  </sheetData>
  <mergeCells count="32">
    <mergeCell ref="F25:G25"/>
    <mergeCell ref="C22:E22"/>
    <mergeCell ref="B30:K30"/>
    <mergeCell ref="B33:K33"/>
    <mergeCell ref="A1:K1"/>
    <mergeCell ref="B36:K36"/>
    <mergeCell ref="F24:G24"/>
    <mergeCell ref="C27:E27"/>
    <mergeCell ref="B32:K32"/>
    <mergeCell ref="H22:J22"/>
    <mergeCell ref="H28:J28"/>
    <mergeCell ref="C23:E23"/>
    <mergeCell ref="B35:K35"/>
    <mergeCell ref="H27:J27"/>
    <mergeCell ref="F26:G26"/>
    <mergeCell ref="B31:K31"/>
    <mergeCell ref="H24:J24"/>
    <mergeCell ref="C28:E28"/>
    <mergeCell ref="H23:J23"/>
    <mergeCell ref="F23:G23"/>
    <mergeCell ref="B21:K21"/>
    <mergeCell ref="A2:K2"/>
    <mergeCell ref="F22:G22"/>
    <mergeCell ref="F28:G28"/>
    <mergeCell ref="H26:J26"/>
    <mergeCell ref="F27:G27"/>
    <mergeCell ref="C24:E24"/>
    <mergeCell ref="C26:E26"/>
    <mergeCell ref="B34:K34"/>
    <mergeCell ref="H25:J25"/>
    <mergeCell ref="G4:K6"/>
    <mergeCell ref="C25:E25"/>
  </mergeCell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8.xml><?xml version="1.0" encoding="utf-8"?>
<worksheet xmlns="http://schemas.openxmlformats.org/spreadsheetml/2006/main">
  <sheetPr>
    <tabColor rgb="0000A6A6"/>
    <outlinePr summaryBelow="1" summaryRight="1"/>
    <pageSetUpPr fitToPage="1"/>
  </sheetPr>
  <dimension ref="A1:J16"/>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6" customWidth="1" min="3" max="3"/>
    <col width="16" customWidth="1" min="4" max="4"/>
    <col width="16" customWidth="1" min="5" max="5"/>
    <col width="16" customWidth="1" min="6" max="6"/>
    <col width="16" customWidth="1" min="7" max="7"/>
    <col width="16" customWidth="1" min="8" max="8"/>
    <col width="25" customWidth="1" min="9" max="9"/>
    <col width="45" customWidth="1" min="10" max="10"/>
  </cols>
  <sheetData>
    <row r="1" ht="31" customHeight="1">
      <c r="A1" s="20" t="inlineStr">
        <is>
          <t>DMX management outlook</t>
        </is>
      </c>
    </row>
    <row r="2" ht="23" customHeight="1">
      <c r="A2" s="21" t="inlineStr">
        <is>
          <t>2025 actual shown in company material; 2026F–2030F are management outlook, not analyst estimates and not guarantees.</t>
        </is>
      </c>
    </row>
    <row r="4" ht="30" customHeight="1">
      <c r="B4" s="14" t="inlineStr">
        <is>
          <t>Metric</t>
        </is>
      </c>
      <c r="C4" s="14" t="inlineStr">
        <is>
          <t>2025A</t>
        </is>
      </c>
      <c r="D4" s="14" t="inlineStr">
        <is>
          <t>2026F</t>
        </is>
      </c>
      <c r="E4" s="14" t="inlineStr">
        <is>
          <t>2027F</t>
        </is>
      </c>
      <c r="F4" s="14" t="inlineStr">
        <is>
          <t>2028F</t>
        </is>
      </c>
      <c r="G4" s="14" t="inlineStr">
        <is>
          <t>2029F</t>
        </is>
      </c>
      <c r="H4" s="14" t="inlineStr">
        <is>
          <t>2030F</t>
        </is>
      </c>
      <c r="I4" s="14" t="inlineStr">
        <is>
          <t>Source / status</t>
        </is>
      </c>
      <c r="J4" s="14" t="inlineStr">
        <is>
          <t>Interpretation</t>
        </is>
      </c>
    </row>
    <row r="5" ht="26" customHeight="1">
      <c r="B5" s="95" t="inlineStr">
        <is>
          <t>Data status</t>
        </is>
      </c>
      <c r="C5" s="96" t="inlineStr">
        <is>
          <t>Actual (company presentation)</t>
        </is>
      </c>
      <c r="D5" s="96" t="inlineStr">
        <is>
          <t>Company outlook</t>
        </is>
      </c>
      <c r="E5" s="96" t="inlineStr">
        <is>
          <t>Company outlook</t>
        </is>
      </c>
      <c r="F5" s="96" t="inlineStr">
        <is>
          <t>Company outlook</t>
        </is>
      </c>
      <c r="G5" s="96" t="inlineStr">
        <is>
          <t>Company outlook</t>
        </is>
      </c>
      <c r="H5" s="96" t="inlineStr">
        <is>
          <t>Company outlook</t>
        </is>
      </c>
      <c r="I5" s="28" t="inlineStr">
        <is>
          <t>DMX-OUTLOOK</t>
        </is>
      </c>
      <c r="J5" s="28" t="inlineStr">
        <is>
          <t>Company outlook is held separate from the analyst scenario layer.</t>
        </is>
      </c>
    </row>
    <row r="6" ht="26" customHeight="1">
      <c r="B6" s="97" t="inlineStr">
        <is>
          <t>Revenue</t>
        </is>
      </c>
      <c r="C6" s="98" t="n">
        <v>107000</v>
      </c>
      <c r="D6" s="98" t="n">
        <v>122500</v>
      </c>
      <c r="E6" s="98" t="n">
        <v>135000</v>
      </c>
      <c r="F6" s="98" t="n">
        <v>149000</v>
      </c>
      <c r="G6" s="98" t="n">
        <v>164000</v>
      </c>
      <c r="H6" s="98" t="n">
        <v>182000</v>
      </c>
      <c r="I6" s="31" t="inlineStr">
        <is>
          <t>DMX-OUTLOOK</t>
        </is>
      </c>
      <c r="J6" s="31" t="inlineStr">
        <is>
          <t>Company outlook is held separate from the analyst scenario layer.</t>
        </is>
      </c>
    </row>
    <row r="7" ht="26" customHeight="1">
      <c r="B7" s="95" t="inlineStr">
        <is>
          <t>Revenue growth</t>
        </is>
      </c>
      <c r="C7" s="99" t="inlineStr">
        <is>
          <t>N/A</t>
        </is>
      </c>
      <c r="D7" s="99">
        <f>D6/C6-1</f>
        <v/>
      </c>
      <c r="E7" s="99">
        <f>E6/D6-1</f>
        <v/>
      </c>
      <c r="F7" s="99">
        <f>F6/E6-1</f>
        <v/>
      </c>
      <c r="G7" s="99">
        <f>G6/F6-1</f>
        <v/>
      </c>
      <c r="H7" s="99">
        <f>H6/G6-1</f>
        <v/>
      </c>
      <c r="I7" s="28" t="inlineStr">
        <is>
          <t>DMX-OUTLOOK</t>
        </is>
      </c>
      <c r="J7" s="28" t="inlineStr">
        <is>
          <t>Company outlook is held separate from the analyst scenario layer.</t>
        </is>
      </c>
    </row>
    <row r="8" ht="26" customHeight="1">
      <c r="B8" s="97" t="inlineStr">
        <is>
          <t>NPAT</t>
        </is>
      </c>
      <c r="C8" s="98" t="n">
        <v>6075</v>
      </c>
      <c r="D8" s="98" t="n">
        <v>7350</v>
      </c>
      <c r="E8" s="98" t="n">
        <v>8500</v>
      </c>
      <c r="F8" s="98" t="n">
        <v>9800</v>
      </c>
      <c r="G8" s="98" t="n">
        <v>11300</v>
      </c>
      <c r="H8" s="98" t="n">
        <v>13000</v>
      </c>
      <c r="I8" s="31" t="inlineStr">
        <is>
          <t>DMX-OUTLOOK</t>
        </is>
      </c>
      <c r="J8" s="31" t="inlineStr">
        <is>
          <t>Company outlook is held separate from the analyst scenario layer.</t>
        </is>
      </c>
    </row>
    <row r="9" ht="26" customHeight="1">
      <c r="B9" s="95" t="inlineStr">
        <is>
          <t>NPAT growth</t>
        </is>
      </c>
      <c r="C9" s="99" t="inlineStr">
        <is>
          <t>N/A</t>
        </is>
      </c>
      <c r="D9" s="99">
        <f>D8/C8-1</f>
        <v/>
      </c>
      <c r="E9" s="99">
        <f>E8/D8-1</f>
        <v/>
      </c>
      <c r="F9" s="99">
        <f>F8/E8-1</f>
        <v/>
      </c>
      <c r="G9" s="99">
        <f>G8/F8-1</f>
        <v/>
      </c>
      <c r="H9" s="99">
        <f>H8/G8-1</f>
        <v/>
      </c>
      <c r="I9" s="28" t="inlineStr">
        <is>
          <t>DMX-OUTLOOK</t>
        </is>
      </c>
      <c r="J9" s="28" t="inlineStr">
        <is>
          <t>Company outlook is held separate from the analyst scenario layer.</t>
        </is>
      </c>
    </row>
    <row r="10" ht="26" customHeight="1">
      <c r="B10" s="97" t="inlineStr">
        <is>
          <t>NPAT margin</t>
        </is>
      </c>
      <c r="C10" s="100">
        <f>C8/C6</f>
        <v/>
      </c>
      <c r="D10" s="100">
        <f>D8/D6</f>
        <v/>
      </c>
      <c r="E10" s="100">
        <f>E8/E6</f>
        <v/>
      </c>
      <c r="F10" s="100">
        <f>F8/F6</f>
        <v/>
      </c>
      <c r="G10" s="100">
        <f>G8/G6</f>
        <v/>
      </c>
      <c r="H10" s="100">
        <f>H8/H6</f>
        <v/>
      </c>
      <c r="I10" s="31" t="inlineStr">
        <is>
          <t>DMX-OUTLOOK</t>
        </is>
      </c>
      <c r="J10" s="31" t="inlineStr">
        <is>
          <t>Company outlook is held separate from the analyst scenario layer.</t>
        </is>
      </c>
    </row>
    <row r="11" ht="26" customHeight="1">
      <c r="B11" s="95" t="inlineStr">
        <is>
          <t>Gross margin</t>
        </is>
      </c>
      <c r="C11" s="101" t="n">
        <v>0.171</v>
      </c>
      <c r="D11" s="101" t="n">
        <v>0.175</v>
      </c>
      <c r="E11" s="101" t="n">
        <v>0.178</v>
      </c>
      <c r="F11" s="101" t="n">
        <v>0.18</v>
      </c>
      <c r="G11" s="101" t="n">
        <v>0.183</v>
      </c>
      <c r="H11" s="101" t="n">
        <v>0.184</v>
      </c>
      <c r="I11" s="28" t="inlineStr">
        <is>
          <t>DMX-OUTLOOK</t>
        </is>
      </c>
      <c r="J11" s="28" t="inlineStr">
        <is>
          <t>Company outlook is held separate from the analyst scenario layer.</t>
        </is>
      </c>
    </row>
    <row r="14">
      <c r="B14" s="42" t="inlineStr">
        <is>
          <t>MODEL BOUNDARY — These values reproduce the company's published outlook as captured at the data cut-off. The DCF does not silently treat them as audited actuals: it applies a separate scenario growth adjustment and explicit EBIT, tax, D&amp;A, capex and working-capital assumptions on the Assumptions tab.</t>
        </is>
      </c>
    </row>
    <row r="15"/>
    <row r="16"/>
  </sheetData>
  <mergeCells count="3">
    <mergeCell ref="A1:J1"/>
    <mergeCell ref="B14:J16"/>
    <mergeCell ref="A2:J2"/>
  </mergeCell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0000A6A6"/>
    <outlinePr summaryBelow="1" summaryRight="1"/>
    <pageSetUpPr fitToPage="1"/>
  </sheetPr>
  <dimension ref="A1:K41"/>
  <sheetViews>
    <sheetView showGridLines="0" zoomScale="85" workbookViewId="0">
      <pane ySplit="10" topLeftCell="A11" activePane="bottomLeft" state="frozen"/>
      <selection pane="bottomLeft" activeCell="A1" sqref="A1"/>
    </sheetView>
  </sheetViews>
  <sheetFormatPr baseColWidth="8" defaultRowHeight="15"/>
  <cols>
    <col width="23" customWidth="1" min="1" max="1"/>
    <col width="21" customWidth="1" min="2" max="2"/>
    <col width="37" customWidth="1" min="3" max="3"/>
    <col width="14" customWidth="1" min="4" max="4"/>
    <col width="15" customWidth="1" min="5" max="5"/>
    <col width="15" customWidth="1" min="6" max="6"/>
    <col width="15" customWidth="1" min="7" max="7"/>
    <col width="16" customWidth="1" min="8" max="8"/>
    <col width="22" customWidth="1" min="9" max="9"/>
    <col width="52" customWidth="1" min="10" max="10"/>
    <col width="27" customWidth="1" min="11" max="11"/>
  </cols>
  <sheetData>
    <row r="1" ht="31" customHeight="1">
      <c r="A1" s="20" t="inlineStr">
        <is>
          <t>Illustrative analyst assumptions</t>
        </is>
      </c>
    </row>
    <row r="2" ht="23" customHeight="1">
      <c r="A2" s="21" t="inlineStr">
        <is>
          <t>Yellow cells / blue font are editable inputs. None of the scenario values below is an official company forecast unless separately sourced.</t>
        </is>
      </c>
    </row>
    <row r="4">
      <c r="A4" t="inlineStr">
        <is>
          <t>Active scenario</t>
        </is>
      </c>
      <c r="C4" s="102" t="inlineStr">
        <is>
          <t>Base</t>
        </is>
      </c>
    </row>
    <row r="5">
      <c r="A5" s="6" t="inlineStr">
        <is>
          <t>Valuation date</t>
        </is>
      </c>
      <c r="C5" s="103" t="inlineStr">
        <is>
          <t>N/A</t>
        </is>
      </c>
      <c r="J5" s="104" t="inlineStr">
        <is>
          <t>Required for a market conclusion</t>
        </is>
      </c>
    </row>
    <row r="6">
      <c r="A6" s="6" t="inlineStr">
        <is>
          <t>MWG closing price</t>
        </is>
      </c>
      <c r="C6" s="103" t="inlineStr">
        <is>
          <t>N/A</t>
        </is>
      </c>
      <c r="J6" s="104" t="inlineStr">
        <is>
          <t>VND/share; must have the same valuation date</t>
        </is>
      </c>
    </row>
    <row r="7">
      <c r="A7" s="6" t="inlineStr">
        <is>
          <t>DMX market price</t>
        </is>
      </c>
      <c r="C7" s="103" t="inlineStr">
        <is>
          <t>N/A</t>
        </is>
      </c>
      <c r="J7" s="104" t="inlineStr">
        <is>
          <t>N/A before verified trading price/date</t>
        </is>
      </c>
    </row>
    <row r="8">
      <c r="A8" s="6" t="inlineStr">
        <is>
          <t>Exact MWG ownership of DMX</t>
        </is>
      </c>
      <c r="C8" s="103" t="inlineStr">
        <is>
          <t>N/A</t>
        </is>
      </c>
      <c r="J8" s="104" t="inlineStr">
        <is>
          <t>Rounded 'nearly 86%' is not exact ownership</t>
        </is>
      </c>
    </row>
    <row r="10" ht="30" customHeight="1">
      <c r="A10" s="14" t="inlineStr">
        <is>
          <t>Assumption ID</t>
        </is>
      </c>
      <c r="B10" s="14" t="inlineStr">
        <is>
          <t>Category</t>
        </is>
      </c>
      <c r="C10" s="14" t="inlineStr">
        <is>
          <t>Driver</t>
        </is>
      </c>
      <c r="D10" s="14" t="inlineStr">
        <is>
          <t>Unit</t>
        </is>
      </c>
      <c r="E10" s="14" t="inlineStr">
        <is>
          <t>Bear</t>
        </is>
      </c>
      <c r="F10" s="14" t="inlineStr">
        <is>
          <t>Base</t>
        </is>
      </c>
      <c r="G10" s="14" t="inlineStr">
        <is>
          <t>Bull</t>
        </is>
      </c>
      <c r="H10" s="14" t="inlineStr">
        <is>
          <t>Active</t>
        </is>
      </c>
      <c r="I10" s="14" t="inlineStr">
        <is>
          <t>Status</t>
        </is>
      </c>
      <c r="J10" s="14" t="inlineStr">
        <is>
          <t>Rationale</t>
        </is>
      </c>
      <c r="K10" s="14" t="inlineStr">
        <is>
          <t>Evidence / source</t>
        </is>
      </c>
    </row>
    <row r="11" ht="32" customHeight="1">
      <c r="A11" s="28" t="inlineStr">
        <is>
          <t>OP_REV_GROWTH_ADJ</t>
        </is>
      </c>
      <c r="B11" s="28" t="inlineStr">
        <is>
          <t>DMX operations</t>
        </is>
      </c>
      <c r="C11" s="28" t="inlineStr">
        <is>
          <t>Annual adjustment to management revenue growth</t>
        </is>
      </c>
      <c r="D11" s="28" t="inlineStr">
        <is>
          <t>%</t>
        </is>
      </c>
      <c r="E11" s="105" t="n">
        <v>-0.03</v>
      </c>
      <c r="F11" s="105" t="n">
        <v>0</v>
      </c>
      <c r="G11" s="105" t="n">
        <v>0.02</v>
      </c>
      <c r="H11" s="106">
        <f>INDEX(E11:G11,1,MATCH($C$4,$E$10:$G$10,0))</f>
        <v/>
      </c>
      <c r="I11" s="28" t="inlineStr">
        <is>
          <t>Illustrative</t>
        </is>
      </c>
      <c r="J11" s="28" t="inlineStr">
        <is>
          <t>Applied to the growth rate, not directly to revenue output</t>
        </is>
      </c>
      <c r="K11" s="28" t="inlineStr">
        <is>
          <t>Analyst scenario</t>
        </is>
      </c>
    </row>
    <row r="12" ht="32" customHeight="1">
      <c r="A12" s="31" t="inlineStr">
        <is>
          <t>OP_EBIT_MARGIN_2026</t>
        </is>
      </c>
      <c r="B12" s="31" t="inlineStr">
        <is>
          <t>DMX operations</t>
        </is>
      </c>
      <c r="C12" s="31" t="inlineStr">
        <is>
          <t>EBIT margin in 2026E</t>
        </is>
      </c>
      <c r="D12" s="31" t="inlineStr">
        <is>
          <t>%</t>
        </is>
      </c>
      <c r="E12" s="105" t="n">
        <v>0.07000000000000001</v>
      </c>
      <c r="F12" s="105" t="n">
        <v>0.08</v>
      </c>
      <c r="G12" s="105" t="n">
        <v>0.08799999999999999</v>
      </c>
      <c r="H12" s="106">
        <f>INDEX(E12:G12,1,MATCH($C$4,$E$10:$G$10,0))</f>
        <v/>
      </c>
      <c r="I12" s="31" t="inlineStr">
        <is>
          <t>Illustrative</t>
        </is>
      </c>
      <c r="J12" s="31" t="inlineStr">
        <is>
          <t>FCFF EBIT is independent from company NPAT outlook</t>
        </is>
      </c>
      <c r="K12" s="31" t="inlineStr">
        <is>
          <t>Analyst scenario</t>
        </is>
      </c>
    </row>
    <row r="13" ht="32" customHeight="1">
      <c r="A13" s="28" t="inlineStr">
        <is>
          <t>OP_EBIT_MARGIN_STEP</t>
        </is>
      </c>
      <c r="B13" s="28" t="inlineStr">
        <is>
          <t>DMX operations</t>
        </is>
      </c>
      <c r="C13" s="28" t="inlineStr">
        <is>
          <t>Annual EBIT margin step</t>
        </is>
      </c>
      <c r="D13" s="28" t="inlineStr">
        <is>
          <t>%</t>
        </is>
      </c>
      <c r="E13" s="105" t="n">
        <v>0.001</v>
      </c>
      <c r="F13" s="105" t="n">
        <v>0.002</v>
      </c>
      <c r="G13" s="105" t="n">
        <v>0.0025</v>
      </c>
      <c r="H13" s="106">
        <f>INDEX(E13:G13,1,MATCH($C$4,$E$10:$G$10,0))</f>
        <v/>
      </c>
      <c r="I13" s="28" t="inlineStr">
        <is>
          <t>Illustrative</t>
        </is>
      </c>
      <c r="J13" s="28" t="inlineStr">
        <is>
          <t>Linear step from the 2026E margin</t>
        </is>
      </c>
      <c r="K13" s="28" t="inlineStr">
        <is>
          <t>Analyst scenario</t>
        </is>
      </c>
    </row>
    <row r="14" ht="32" customHeight="1">
      <c r="A14" s="31" t="inlineStr">
        <is>
          <t>OP_CASH_TAX</t>
        </is>
      </c>
      <c r="B14" s="31" t="inlineStr">
        <is>
          <t>DMX operations</t>
        </is>
      </c>
      <c r="C14" s="31" t="inlineStr">
        <is>
          <t>Cash tax rate</t>
        </is>
      </c>
      <c r="D14" s="31" t="inlineStr">
        <is>
          <t>%</t>
        </is>
      </c>
      <c r="E14" s="105" t="n">
        <v>0.2</v>
      </c>
      <c r="F14" s="105" t="n">
        <v>0.2</v>
      </c>
      <c r="G14" s="105" t="n">
        <v>0.2</v>
      </c>
      <c r="H14" s="106">
        <f>INDEX(E14:G14,1,MATCH($C$4,$E$10:$G$10,0))</f>
        <v/>
      </c>
      <c r="I14" s="31" t="inlineStr">
        <is>
          <t>Illustrative</t>
        </is>
      </c>
      <c r="J14" s="31" t="inlineStr">
        <is>
          <t>Vietnam corporate-tax simplification; replace with modelled cash tax</t>
        </is>
      </c>
      <c r="K14" s="31" t="inlineStr">
        <is>
          <t>Analyst scenario</t>
        </is>
      </c>
    </row>
    <row r="15" ht="32" customHeight="1">
      <c r="A15" s="28" t="inlineStr">
        <is>
          <t>OP_DA_PCT_REV</t>
        </is>
      </c>
      <c r="B15" s="28" t="inlineStr">
        <is>
          <t>DMX operations</t>
        </is>
      </c>
      <c r="C15" s="28" t="inlineStr">
        <is>
          <t>D&amp;A as % of revenue</t>
        </is>
      </c>
      <c r="D15" s="28" t="inlineStr">
        <is>
          <t>%</t>
        </is>
      </c>
      <c r="E15" s="105" t="n">
        <v>0.01</v>
      </c>
      <c r="F15" s="105" t="n">
        <v>0.01</v>
      </c>
      <c r="G15" s="105" t="n">
        <v>0.01</v>
      </c>
      <c r="H15" s="106">
        <f>INDEX(E15:G15,1,MATCH($C$4,$E$10:$G$10,0))</f>
        <v/>
      </c>
      <c r="I15" s="28" t="inlineStr">
        <is>
          <t>Illustrative</t>
        </is>
      </c>
      <c r="J15" s="28" t="inlineStr">
        <is>
          <t>Required to bridge EBIT to FCFF</t>
        </is>
      </c>
      <c r="K15" s="28" t="inlineStr">
        <is>
          <t>Analyst scenario</t>
        </is>
      </c>
    </row>
    <row r="16" ht="32" customHeight="1">
      <c r="A16" s="31" t="inlineStr">
        <is>
          <t>OP_CAPEX_PCT_REV</t>
        </is>
      </c>
      <c r="B16" s="31" t="inlineStr">
        <is>
          <t>DMX operations</t>
        </is>
      </c>
      <c r="C16" s="31" t="inlineStr">
        <is>
          <t>Capex as % of revenue</t>
        </is>
      </c>
      <c r="D16" s="31" t="inlineStr">
        <is>
          <t>%</t>
        </is>
      </c>
      <c r="E16" s="105" t="n">
        <v>0.012</v>
      </c>
      <c r="F16" s="105" t="n">
        <v>0.01</v>
      </c>
      <c r="G16" s="105" t="n">
        <v>0.008999999999999999</v>
      </c>
      <c r="H16" s="106">
        <f>INDEX(E16:G16,1,MATCH($C$4,$E$10:$G$10,0))</f>
        <v/>
      </c>
      <c r="I16" s="31" t="inlineStr">
        <is>
          <t>Illustrative</t>
        </is>
      </c>
      <c r="J16" s="31" t="inlineStr">
        <is>
          <t>Maintenance and growth capex combined</t>
        </is>
      </c>
      <c r="K16" s="31" t="inlineStr">
        <is>
          <t>Analyst scenario</t>
        </is>
      </c>
    </row>
    <row r="17" ht="32" customHeight="1">
      <c r="A17" s="28" t="inlineStr">
        <is>
          <t>OP_NWC_PCT_DELTA_REV</t>
        </is>
      </c>
      <c r="B17" s="28" t="inlineStr">
        <is>
          <t>DMX operations</t>
        </is>
      </c>
      <c r="C17" s="28" t="inlineStr">
        <is>
          <t>Cash investment in NWC as % of revenue increase</t>
        </is>
      </c>
      <c r="D17" s="28" t="inlineStr">
        <is>
          <t>%</t>
        </is>
      </c>
      <c r="E17" s="105" t="n">
        <v>0.04</v>
      </c>
      <c r="F17" s="105" t="n">
        <v>0.03</v>
      </c>
      <c r="G17" s="105" t="n">
        <v>0.02</v>
      </c>
      <c r="H17" s="106">
        <f>INDEX(E17:G17,1,MATCH($C$4,$E$10:$G$10,0))</f>
        <v/>
      </c>
      <c r="I17" s="28" t="inlineStr">
        <is>
          <t>Illustrative</t>
        </is>
      </c>
      <c r="J17" s="28" t="inlineStr">
        <is>
          <t>Positive value is a cash outflow</t>
        </is>
      </c>
      <c r="K17" s="28" t="inlineStr">
        <is>
          <t>Analyst scenario</t>
        </is>
      </c>
    </row>
    <row r="18" ht="32" customHeight="1">
      <c r="A18" s="31" t="inlineStr">
        <is>
          <t>VAL_WACC</t>
        </is>
      </c>
      <c r="B18" s="31" t="inlineStr">
        <is>
          <t>DMX valuation</t>
        </is>
      </c>
      <c r="C18" s="31" t="inlineStr">
        <is>
          <t>Nominal VND WACC</t>
        </is>
      </c>
      <c r="D18" s="31" t="inlineStr">
        <is>
          <t>%</t>
        </is>
      </c>
      <c r="E18" s="105" t="n">
        <v>0.13</v>
      </c>
      <c r="F18" s="105" t="n">
        <v>0.12</v>
      </c>
      <c r="G18" s="105" t="n">
        <v>0.11</v>
      </c>
      <c r="H18" s="106">
        <f>INDEX(E18:G18,1,MATCH($C$4,$E$10:$G$10,0))</f>
        <v/>
      </c>
      <c r="I18" s="31" t="inlineStr">
        <is>
          <t>Illustrative</t>
        </is>
      </c>
      <c r="J18" s="31" t="inlineStr">
        <is>
          <t>Market inputs are not populated; sensitivity is mandatory</t>
        </is>
      </c>
      <c r="K18" s="31" t="inlineStr">
        <is>
          <t>Analyst scenario</t>
        </is>
      </c>
    </row>
    <row r="19" ht="32" customHeight="1">
      <c r="A19" s="28" t="inlineStr">
        <is>
          <t>VAL_TERMINAL_G</t>
        </is>
      </c>
      <c r="B19" s="28" t="inlineStr">
        <is>
          <t>DMX valuation</t>
        </is>
      </c>
      <c r="C19" s="28" t="inlineStr">
        <is>
          <t>Terminal growth</t>
        </is>
      </c>
      <c r="D19" s="28" t="inlineStr">
        <is>
          <t>%</t>
        </is>
      </c>
      <c r="E19" s="105" t="n">
        <v>0.03</v>
      </c>
      <c r="F19" s="105" t="n">
        <v>0.04</v>
      </c>
      <c r="G19" s="105" t="n">
        <v>0.045</v>
      </c>
      <c r="H19" s="106">
        <f>INDEX(E19:G19,1,MATCH($C$4,$E$10:$G$10,0))</f>
        <v/>
      </c>
      <c r="I19" s="28" t="inlineStr">
        <is>
          <t>Illustrative</t>
        </is>
      </c>
      <c r="J19" s="28" t="inlineStr">
        <is>
          <t>Must remain below WACC</t>
        </is>
      </c>
      <c r="K19" s="28" t="inlineStr">
        <is>
          <t>Analyst scenario</t>
        </is>
      </c>
    </row>
    <row r="20" ht="32" customHeight="1">
      <c r="A20" s="31" t="inlineStr">
        <is>
          <t>VAL_ERABLUE</t>
        </is>
      </c>
      <c r="B20" s="31" t="inlineStr">
        <is>
          <t>DMX valuation</t>
        </is>
      </c>
      <c r="C20" s="31" t="inlineStr">
        <is>
          <t>Fair value of DMX stake in EraBlue</t>
        </is>
      </c>
      <c r="D20" s="31" t="inlineStr">
        <is>
          <t>VND bn</t>
        </is>
      </c>
      <c r="E20" s="107" t="n">
        <v>1000</v>
      </c>
      <c r="F20" s="107" t="n">
        <v>1500</v>
      </c>
      <c r="G20" s="107" t="n">
        <v>2000</v>
      </c>
      <c r="H20" s="108">
        <f>INDEX(E20:G20,1,MATCH($C$4,$E$10:$G$10,0))</f>
        <v/>
      </c>
      <c r="I20" s="31" t="inlineStr">
        <is>
          <t>Illustrative</t>
        </is>
      </c>
      <c r="J20" s="31" t="inlineStr">
        <is>
          <t>Added once because FCFF EBIT excludes JV earnings</t>
        </is>
      </c>
      <c r="K20" s="31" t="inlineStr">
        <is>
          <t>MWG-ERABLUE-JV / analyst scenario</t>
        </is>
      </c>
    </row>
    <row r="21" ht="32" customHeight="1">
      <c r="A21" s="28" t="inlineStr">
        <is>
          <t>VAL_LEASE</t>
        </is>
      </c>
      <c r="B21" s="28" t="inlineStr">
        <is>
          <t>DMX valuation</t>
        </is>
      </c>
      <c r="C21" s="28" t="inlineStr">
        <is>
          <t>Lease liabilities in equity bridge</t>
        </is>
      </c>
      <c r="D21" s="28" t="inlineStr">
        <is>
          <t>VND bn</t>
        </is>
      </c>
      <c r="E21" s="107" t="n">
        <v>0</v>
      </c>
      <c r="F21" s="107" t="n">
        <v>0</v>
      </c>
      <c r="G21" s="107" t="n">
        <v>0</v>
      </c>
      <c r="H21" s="108">
        <f>INDEX(E21:G21,1,MATCH($C$4,$E$10:$G$10,0))</f>
        <v/>
      </c>
      <c r="I21" s="28" t="inlineStr">
        <is>
          <t>Illustrative placeholder</t>
        </is>
      </c>
      <c r="J21" s="28" t="inlineStr">
        <is>
          <t>Replace after verifying the chosen lease convention</t>
        </is>
      </c>
      <c r="K21" s="28" t="inlineStr">
        <is>
          <t>Analyst placeholder</t>
        </is>
      </c>
    </row>
    <row r="22" ht="32" customHeight="1">
      <c r="A22" s="31" t="inlineStr">
        <is>
          <t>VAL_OTHER_CLAIMS</t>
        </is>
      </c>
      <c r="B22" s="31" t="inlineStr">
        <is>
          <t>DMX valuation</t>
        </is>
      </c>
      <c r="C22" s="31" t="inlineStr">
        <is>
          <t>Other claims in equity bridge</t>
        </is>
      </c>
      <c r="D22" s="31" t="inlineStr">
        <is>
          <t>VND bn</t>
        </is>
      </c>
      <c r="E22" s="107" t="n">
        <v>0</v>
      </c>
      <c r="F22" s="107" t="n">
        <v>0</v>
      </c>
      <c r="G22" s="107" t="n">
        <v>0</v>
      </c>
      <c r="H22" s="108">
        <f>INDEX(E22:G22,1,MATCH($C$4,$E$10:$G$10,0))</f>
        <v/>
      </c>
      <c r="I22" s="31" t="inlineStr">
        <is>
          <t>Illustrative placeholder</t>
        </is>
      </c>
      <c r="J22" s="31" t="inlineStr">
        <is>
          <t>No unsupported claim is inserted</t>
        </is>
      </c>
      <c r="K22" s="31" t="inlineStr">
        <is>
          <t>Analyst placeholder</t>
        </is>
      </c>
    </row>
    <row r="23" ht="32" customHeight="1">
      <c r="A23" s="28" t="inlineStr">
        <is>
          <t>SOTP_DMX_OWNERSHIP</t>
        </is>
      </c>
      <c r="B23" s="28" t="inlineStr">
        <is>
          <t>MWG SOTP</t>
        </is>
      </c>
      <c r="C23" s="28" t="inlineStr">
        <is>
          <t>MWG effective ownership of DMX</t>
        </is>
      </c>
      <c r="D23" s="28" t="inlineStr">
        <is>
          <t>%</t>
        </is>
      </c>
      <c r="E23" s="105" t="n">
        <v>0.86</v>
      </c>
      <c r="F23" s="105" t="n">
        <v>0.86</v>
      </c>
      <c r="G23" s="105" t="n">
        <v>0.86</v>
      </c>
      <c r="H23" s="106">
        <f>INDEX(E23:G23,1,MATCH($C$4,$E$10:$G$10,0))</f>
        <v/>
      </c>
      <c r="I23" s="28" t="inlineStr">
        <is>
          <t>Illustrative proxy</t>
        </is>
      </c>
      <c r="J23" s="28" t="inlineStr">
        <is>
          <t>Rounded disclosure only; exact shares required for production</t>
        </is>
      </c>
      <c r="K23" s="28" t="inlineStr">
        <is>
          <t>DMX-IPO-COMPLETE</t>
        </is>
      </c>
    </row>
    <row r="24" ht="32" customHeight="1">
      <c r="A24" s="31" t="inlineStr">
        <is>
          <t>SOTP_BHX_REVENUE</t>
        </is>
      </c>
      <c r="B24" s="31" t="inlineStr">
        <is>
          <t>MWG SOTP</t>
        </is>
      </c>
      <c r="C24" s="31" t="inlineStr">
        <is>
          <t>BHX reference revenue</t>
        </is>
      </c>
      <c r="D24" s="31" t="inlineStr">
        <is>
          <t>VND bn</t>
        </is>
      </c>
      <c r="E24" s="107" t="n">
        <v>43000</v>
      </c>
      <c r="F24" s="107" t="n">
        <v>46000</v>
      </c>
      <c r="G24" s="107" t="n">
        <v>49000</v>
      </c>
      <c r="H24" s="108">
        <f>INDEX(E24:G24,1,MATCH($C$4,$E$10:$G$10,0))</f>
        <v/>
      </c>
      <c r="I24" s="31" t="inlineStr">
        <is>
          <t>Illustrative</t>
        </is>
      </c>
      <c r="J24" s="31" t="inlineStr">
        <is>
          <t>Portfolio model placeholder</t>
        </is>
      </c>
      <c r="K24" s="31" t="inlineStr">
        <is>
          <t>Analyst scenario</t>
        </is>
      </c>
    </row>
    <row r="25" ht="32" customHeight="1">
      <c r="A25" s="28" t="inlineStr">
        <is>
          <t>SOTP_BHX_EVS</t>
        </is>
      </c>
      <c r="B25" s="28" t="inlineStr">
        <is>
          <t>MWG SOTP</t>
        </is>
      </c>
      <c r="C25" s="28" t="inlineStr">
        <is>
          <t>BHX EV / Sales</t>
        </is>
      </c>
      <c r="D25" s="28" t="inlineStr">
        <is>
          <t>x</t>
        </is>
      </c>
      <c r="E25" s="109" t="n">
        <v>0.6</v>
      </c>
      <c r="F25" s="109" t="n">
        <v>0.8</v>
      </c>
      <c r="G25" s="109" t="n">
        <v>1</v>
      </c>
      <c r="H25" s="110">
        <f>INDEX(E25:G25,1,MATCH($C$4,$E$10:$G$10,0))</f>
        <v/>
      </c>
      <c r="I25" s="28" t="inlineStr">
        <is>
          <t>Illustrative</t>
        </is>
      </c>
      <c r="J25" s="28" t="inlineStr">
        <is>
          <t>Comparable analysis not yet populated</t>
        </is>
      </c>
      <c r="K25" s="28" t="inlineStr">
        <is>
          <t>Analyst scenario</t>
        </is>
      </c>
    </row>
    <row r="26" ht="32" customHeight="1">
      <c r="A26" s="31" t="inlineStr">
        <is>
          <t>SOTP_BHX_NET_DEBT</t>
        </is>
      </c>
      <c r="B26" s="31" t="inlineStr">
        <is>
          <t>MWG SOTP</t>
        </is>
      </c>
      <c r="C26" s="31" t="inlineStr">
        <is>
          <t>BHX net debt</t>
        </is>
      </c>
      <c r="D26" s="31" t="inlineStr">
        <is>
          <t>VND bn</t>
        </is>
      </c>
      <c r="E26" s="107" t="n">
        <v>3000</v>
      </c>
      <c r="F26" s="107" t="n">
        <v>2000</v>
      </c>
      <c r="G26" s="107" t="n">
        <v>1000</v>
      </c>
      <c r="H26" s="108">
        <f>INDEX(E26:G26,1,MATCH($C$4,$E$10:$G$10,0))</f>
        <v/>
      </c>
      <c r="I26" s="31" t="inlineStr">
        <is>
          <t>Illustrative</t>
        </is>
      </c>
      <c r="J26" s="31" t="inlineStr">
        <is>
          <t>Subsidiary-level bridge only</t>
        </is>
      </c>
      <c r="K26" s="31" t="inlineStr">
        <is>
          <t>Analyst scenario</t>
        </is>
      </c>
    </row>
    <row r="27" ht="32" customHeight="1">
      <c r="A27" s="28" t="inlineStr">
        <is>
          <t>SOTP_BHX_OWNERSHIP</t>
        </is>
      </c>
      <c r="B27" s="28" t="inlineStr">
        <is>
          <t>MWG SOTP</t>
        </is>
      </c>
      <c r="C27" s="28" t="inlineStr">
        <is>
          <t>MWG ownership of BHX</t>
        </is>
      </c>
      <c r="D27" s="28" t="inlineStr">
        <is>
          <t>%</t>
        </is>
      </c>
      <c r="E27" s="105" t="n">
        <v>0.95</v>
      </c>
      <c r="F27" s="105" t="n">
        <v>0.95</v>
      </c>
      <c r="G27" s="105" t="n">
        <v>0.95</v>
      </c>
      <c r="H27" s="106">
        <f>INDEX(E27:G27,1,MATCH($C$4,$E$10:$G$10,0))</f>
        <v/>
      </c>
      <c r="I27" s="28" t="inlineStr">
        <is>
          <t>Illustrative</t>
        </is>
      </c>
      <c r="J27" s="28" t="inlineStr">
        <is>
          <t>Replace with exact effective ownership</t>
        </is>
      </c>
      <c r="K27" s="28" t="inlineStr">
        <is>
          <t>Analyst scenario</t>
        </is>
      </c>
    </row>
    <row r="28" ht="32" customHeight="1">
      <c r="A28" s="31" t="inlineStr">
        <is>
          <t>SOTP_AK_REVENUE</t>
        </is>
      </c>
      <c r="B28" s="31" t="inlineStr">
        <is>
          <t>MWG SOTP</t>
        </is>
      </c>
      <c r="C28" s="31" t="inlineStr">
        <is>
          <t>An Khang reference revenue</t>
        </is>
      </c>
      <c r="D28" s="31" t="inlineStr">
        <is>
          <t>VND bn</t>
        </is>
      </c>
      <c r="E28" s="107" t="n">
        <v>1800</v>
      </c>
      <c r="F28" s="107" t="n">
        <v>2200</v>
      </c>
      <c r="G28" s="107" t="n">
        <v>2600</v>
      </c>
      <c r="H28" s="108">
        <f>INDEX(E28:G28,1,MATCH($C$4,$E$10:$G$10,0))</f>
        <v/>
      </c>
      <c r="I28" s="31" t="inlineStr">
        <is>
          <t>Illustrative</t>
        </is>
      </c>
      <c r="J28" s="31" t="inlineStr">
        <is>
          <t>Portfolio model placeholder</t>
        </is>
      </c>
      <c r="K28" s="31" t="inlineStr">
        <is>
          <t>Analyst scenario</t>
        </is>
      </c>
    </row>
    <row r="29" ht="32" customHeight="1">
      <c r="A29" s="28" t="inlineStr">
        <is>
          <t>SOTP_AK_EVS</t>
        </is>
      </c>
      <c r="B29" s="28" t="inlineStr">
        <is>
          <t>MWG SOTP</t>
        </is>
      </c>
      <c r="C29" s="28" t="inlineStr">
        <is>
          <t>An Khang EV / Sales</t>
        </is>
      </c>
      <c r="D29" s="28" t="inlineStr">
        <is>
          <t>x</t>
        </is>
      </c>
      <c r="E29" s="109" t="n">
        <v>0.25</v>
      </c>
      <c r="F29" s="109" t="n">
        <v>0.35</v>
      </c>
      <c r="G29" s="109" t="n">
        <v>0.45</v>
      </c>
      <c r="H29" s="110">
        <f>INDEX(E29:G29,1,MATCH($C$4,$E$10:$G$10,0))</f>
        <v/>
      </c>
      <c r="I29" s="28" t="inlineStr">
        <is>
          <t>Illustrative</t>
        </is>
      </c>
      <c r="J29" s="28" t="inlineStr">
        <is>
          <t>Loss-making / early-stage range</t>
        </is>
      </c>
      <c r="K29" s="28" t="inlineStr">
        <is>
          <t>Analyst scenario</t>
        </is>
      </c>
    </row>
    <row r="30" ht="32" customHeight="1">
      <c r="A30" s="31" t="inlineStr">
        <is>
          <t>SOTP_AK_NET_DEBT</t>
        </is>
      </c>
      <c r="B30" s="31" t="inlineStr">
        <is>
          <t>MWG SOTP</t>
        </is>
      </c>
      <c r="C30" s="31" t="inlineStr">
        <is>
          <t>An Khang net debt</t>
        </is>
      </c>
      <c r="D30" s="31" t="inlineStr">
        <is>
          <t>VND bn</t>
        </is>
      </c>
      <c r="E30" s="107" t="n">
        <v>500</v>
      </c>
      <c r="F30" s="107" t="n">
        <v>500</v>
      </c>
      <c r="G30" s="107" t="n">
        <v>500</v>
      </c>
      <c r="H30" s="108">
        <f>INDEX(E30:G30,1,MATCH($C$4,$E$10:$G$10,0))</f>
        <v/>
      </c>
      <c r="I30" s="31" t="inlineStr">
        <is>
          <t>Illustrative</t>
        </is>
      </c>
      <c r="J30" s="31" t="inlineStr">
        <is>
          <t>Subsidiary-level bridge only</t>
        </is>
      </c>
      <c r="K30" s="31" t="inlineStr">
        <is>
          <t>Analyst scenario</t>
        </is>
      </c>
    </row>
    <row r="31" ht="32" customHeight="1">
      <c r="A31" s="28" t="inlineStr">
        <is>
          <t>SOTP_AK_OWNERSHIP</t>
        </is>
      </c>
      <c r="B31" s="28" t="inlineStr">
        <is>
          <t>MWG SOTP</t>
        </is>
      </c>
      <c r="C31" s="28" t="inlineStr">
        <is>
          <t>MWG ownership of An Khang</t>
        </is>
      </c>
      <c r="D31" s="28" t="inlineStr">
        <is>
          <t>%</t>
        </is>
      </c>
      <c r="E31" s="105" t="n">
        <v>1</v>
      </c>
      <c r="F31" s="105" t="n">
        <v>1</v>
      </c>
      <c r="G31" s="105" t="n">
        <v>1</v>
      </c>
      <c r="H31" s="106">
        <f>INDEX(E31:G31,1,MATCH($C$4,$E$10:$G$10,0))</f>
        <v/>
      </c>
      <c r="I31" s="28" t="inlineStr">
        <is>
          <t>Illustrative</t>
        </is>
      </c>
      <c r="J31" s="28" t="inlineStr">
        <is>
          <t>Replace with exact effective ownership</t>
        </is>
      </c>
      <c r="K31" s="28" t="inlineStr">
        <is>
          <t>Analyst scenario</t>
        </is>
      </c>
    </row>
    <row r="32" ht="32" customHeight="1">
      <c r="A32" s="31" t="inlineStr">
        <is>
          <t>SOTP_AVA_REVENUE</t>
        </is>
      </c>
      <c r="B32" s="31" t="inlineStr">
        <is>
          <t>MWG SOTP</t>
        </is>
      </c>
      <c r="C32" s="31" t="inlineStr">
        <is>
          <t>AVAKids reference revenue</t>
        </is>
      </c>
      <c r="D32" s="31" t="inlineStr">
        <is>
          <t>VND bn</t>
        </is>
      </c>
      <c r="E32" s="107" t="n">
        <v>1000</v>
      </c>
      <c r="F32" s="107" t="n">
        <v>1200</v>
      </c>
      <c r="G32" s="107" t="n">
        <v>1400</v>
      </c>
      <c r="H32" s="108">
        <f>INDEX(E32:G32,1,MATCH($C$4,$E$10:$G$10,0))</f>
        <v/>
      </c>
      <c r="I32" s="31" t="inlineStr">
        <is>
          <t>Illustrative</t>
        </is>
      </c>
      <c r="J32" s="31" t="inlineStr">
        <is>
          <t>Portfolio model placeholder</t>
        </is>
      </c>
      <c r="K32" s="31" t="inlineStr">
        <is>
          <t>Analyst scenario</t>
        </is>
      </c>
    </row>
    <row r="33" ht="32" customHeight="1">
      <c r="A33" s="28" t="inlineStr">
        <is>
          <t>SOTP_AVA_EVS</t>
        </is>
      </c>
      <c r="B33" s="28" t="inlineStr">
        <is>
          <t>MWG SOTP</t>
        </is>
      </c>
      <c r="C33" s="28" t="inlineStr">
        <is>
          <t>AVAKids EV / Sales</t>
        </is>
      </c>
      <c r="D33" s="28" t="inlineStr">
        <is>
          <t>x</t>
        </is>
      </c>
      <c r="E33" s="109" t="n">
        <v>0.4</v>
      </c>
      <c r="F33" s="109" t="n">
        <v>0.6</v>
      </c>
      <c r="G33" s="109" t="n">
        <v>0.8</v>
      </c>
      <c r="H33" s="110">
        <f>INDEX(E33:G33,1,MATCH($C$4,$E$10:$G$10,0))</f>
        <v/>
      </c>
      <c r="I33" s="28" t="inlineStr">
        <is>
          <t>Illustrative</t>
        </is>
      </c>
      <c r="J33" s="28" t="inlineStr">
        <is>
          <t>Early-stage range</t>
        </is>
      </c>
      <c r="K33" s="28" t="inlineStr">
        <is>
          <t>Analyst scenario</t>
        </is>
      </c>
    </row>
    <row r="34" ht="32" customHeight="1">
      <c r="A34" s="31" t="inlineStr">
        <is>
          <t>SOTP_AVA_NET_DEBT</t>
        </is>
      </c>
      <c r="B34" s="31" t="inlineStr">
        <is>
          <t>MWG SOTP</t>
        </is>
      </c>
      <c r="C34" s="31" t="inlineStr">
        <is>
          <t>AVAKids net debt</t>
        </is>
      </c>
      <c r="D34" s="31" t="inlineStr">
        <is>
          <t>VND bn</t>
        </is>
      </c>
      <c r="E34" s="107" t="n">
        <v>200</v>
      </c>
      <c r="F34" s="107" t="n">
        <v>200</v>
      </c>
      <c r="G34" s="107" t="n">
        <v>200</v>
      </c>
      <c r="H34" s="108">
        <f>INDEX(E34:G34,1,MATCH($C$4,$E$10:$G$10,0))</f>
        <v/>
      </c>
      <c r="I34" s="31" t="inlineStr">
        <is>
          <t>Illustrative</t>
        </is>
      </c>
      <c r="J34" s="31" t="inlineStr">
        <is>
          <t>Subsidiary-level bridge only</t>
        </is>
      </c>
      <c r="K34" s="31" t="inlineStr">
        <is>
          <t>Analyst scenario</t>
        </is>
      </c>
    </row>
    <row r="35" ht="32" customHeight="1">
      <c r="A35" s="28" t="inlineStr">
        <is>
          <t>SOTP_AVA_OWNERSHIP</t>
        </is>
      </c>
      <c r="B35" s="28" t="inlineStr">
        <is>
          <t>MWG SOTP</t>
        </is>
      </c>
      <c r="C35" s="28" t="inlineStr">
        <is>
          <t>MWG ownership of AVAKids</t>
        </is>
      </c>
      <c r="D35" s="28" t="inlineStr">
        <is>
          <t>%</t>
        </is>
      </c>
      <c r="E35" s="105" t="n">
        <v>1</v>
      </c>
      <c r="F35" s="105" t="n">
        <v>1</v>
      </c>
      <c r="G35" s="105" t="n">
        <v>1</v>
      </c>
      <c r="H35" s="106">
        <f>INDEX(E35:G35,1,MATCH($C$4,$E$10:$G$10,0))</f>
        <v/>
      </c>
      <c r="I35" s="28" t="inlineStr">
        <is>
          <t>Illustrative</t>
        </is>
      </c>
      <c r="J35" s="28" t="inlineStr">
        <is>
          <t>Replace with exact effective ownership</t>
        </is>
      </c>
      <c r="K35" s="28" t="inlineStr">
        <is>
          <t>Analyst scenario</t>
        </is>
      </c>
    </row>
    <row r="36" ht="32" customHeight="1">
      <c r="A36" s="31" t="inlineStr">
        <is>
          <t>SOTP_OTHER_INV</t>
        </is>
      </c>
      <c r="B36" s="31" t="inlineStr">
        <is>
          <t>MWG SOTP</t>
        </is>
      </c>
      <c r="C36" s="31" t="inlineStr">
        <is>
          <t>Other investments</t>
        </is>
      </c>
      <c r="D36" s="31" t="inlineStr">
        <is>
          <t>VND bn</t>
        </is>
      </c>
      <c r="E36" s="107" t="n">
        <v>500</v>
      </c>
      <c r="F36" s="107" t="n">
        <v>1000</v>
      </c>
      <c r="G36" s="107" t="n">
        <v>1500</v>
      </c>
      <c r="H36" s="108">
        <f>INDEX(E36:G36,1,MATCH($C$4,$E$10:$G$10,0))</f>
        <v/>
      </c>
      <c r="I36" s="31" t="inlineStr">
        <is>
          <t>Illustrative</t>
        </is>
      </c>
      <c r="J36" s="31" t="inlineStr">
        <is>
          <t>Equity value, no separate net-debt adjustment</t>
        </is>
      </c>
      <c r="K36" s="31" t="inlineStr">
        <is>
          <t>Analyst scenario</t>
        </is>
      </c>
    </row>
    <row r="37" ht="32" customHeight="1">
      <c r="A37" s="28" t="inlineStr">
        <is>
          <t>SOTP_PARENT_ASSETS</t>
        </is>
      </c>
      <c r="B37" s="28" t="inlineStr">
        <is>
          <t>MWG SOTP</t>
        </is>
      </c>
      <c r="C37" s="28" t="inlineStr">
        <is>
          <t>Parent non-operating assets</t>
        </is>
      </c>
      <c r="D37" s="28" t="inlineStr">
        <is>
          <t>VND bn</t>
        </is>
      </c>
      <c r="E37" s="107" t="n">
        <v>0</v>
      </c>
      <c r="F37" s="107" t="n">
        <v>0</v>
      </c>
      <c r="G37" s="107" t="n">
        <v>0</v>
      </c>
      <c r="H37" s="108">
        <f>INDEX(E37:G37,1,MATCH($C$4,$E$10:$G$10,0))</f>
        <v/>
      </c>
      <c r="I37" s="28" t="inlineStr">
        <is>
          <t>Illustrative placeholder</t>
        </is>
      </c>
      <c r="J37" s="28" t="inlineStr">
        <is>
          <t>Avoids unsupported double count</t>
        </is>
      </c>
      <c r="K37" s="28" t="inlineStr">
        <is>
          <t>Analyst placeholder</t>
        </is>
      </c>
    </row>
    <row r="38" ht="32" customHeight="1">
      <c r="A38" s="31" t="inlineStr">
        <is>
          <t>SOTP_PARENT_NET_DEBT</t>
        </is>
      </c>
      <c r="B38" s="31" t="inlineStr">
        <is>
          <t>MWG SOTP</t>
        </is>
      </c>
      <c r="C38" s="31" t="inlineStr">
        <is>
          <t>Parent-only net debt</t>
        </is>
      </c>
      <c r="D38" s="31" t="inlineStr">
        <is>
          <t>VND bn</t>
        </is>
      </c>
      <c r="E38" s="107" t="n">
        <v>2500</v>
      </c>
      <c r="F38" s="107" t="n">
        <v>2000</v>
      </c>
      <c r="G38" s="107" t="n">
        <v>1500</v>
      </c>
      <c r="H38" s="108">
        <f>INDEX(E38:G38,1,MATCH($C$4,$E$10:$G$10,0))</f>
        <v/>
      </c>
      <c r="I38" s="31" t="inlineStr">
        <is>
          <t>Illustrative</t>
        </is>
      </c>
      <c r="J38" s="31" t="inlineStr">
        <is>
          <t>Must not use consolidated debt after valuing subs at equity</t>
        </is>
      </c>
      <c r="K38" s="31" t="inlineStr">
        <is>
          <t>Analyst scenario</t>
        </is>
      </c>
    </row>
    <row r="39" ht="32" customHeight="1">
      <c r="A39" s="28" t="inlineStr">
        <is>
          <t>SOTP_PARENT_PROVISIONS</t>
        </is>
      </c>
      <c r="B39" s="28" t="inlineStr">
        <is>
          <t>MWG SOTP</t>
        </is>
      </c>
      <c r="C39" s="28" t="inlineStr">
        <is>
          <t>Parent provisions / other claims</t>
        </is>
      </c>
      <c r="D39" s="28" t="inlineStr">
        <is>
          <t>VND bn</t>
        </is>
      </c>
      <c r="E39" s="107" t="n">
        <v>1000</v>
      </c>
      <c r="F39" s="107" t="n">
        <v>500</v>
      </c>
      <c r="G39" s="107" t="n">
        <v>250</v>
      </c>
      <c r="H39" s="108">
        <f>INDEX(E39:G39,1,MATCH($C$4,$E$10:$G$10,0))</f>
        <v/>
      </c>
      <c r="I39" s="28" t="inlineStr">
        <is>
          <t>Illustrative</t>
        </is>
      </c>
      <c r="J39" s="28" t="inlineStr">
        <is>
          <t>Separate parent claims</t>
        </is>
      </c>
      <c r="K39" s="28" t="inlineStr">
        <is>
          <t>Analyst scenario</t>
        </is>
      </c>
    </row>
    <row r="40" ht="32" customHeight="1">
      <c r="A40" s="31" t="inlineStr">
        <is>
          <t>SOTP_HOLDCO_DISC</t>
        </is>
      </c>
      <c r="B40" s="31" t="inlineStr">
        <is>
          <t>MWG SOTP</t>
        </is>
      </c>
      <c r="C40" s="31" t="inlineStr">
        <is>
          <t>Holding-company discount</t>
        </is>
      </c>
      <c r="D40" s="31" t="inlineStr">
        <is>
          <t>%</t>
        </is>
      </c>
      <c r="E40" s="105" t="n">
        <v>0.25</v>
      </c>
      <c r="F40" s="105" t="n">
        <v>0.15</v>
      </c>
      <c r="G40" s="105" t="n">
        <v>0.05</v>
      </c>
      <c r="H40" s="106">
        <f>INDEX(E40:G40,1,MATCH($C$4,$E$10:$G$10,0))</f>
        <v/>
      </c>
      <c r="I40" s="31" t="inlineStr">
        <is>
          <t>Illustrative</t>
        </is>
      </c>
      <c r="J40" s="31" t="inlineStr">
        <is>
          <t>Sensitivity, not a plug to a target price</t>
        </is>
      </c>
      <c r="K40" s="31" t="inlineStr">
        <is>
          <t>Analyst scenario</t>
        </is>
      </c>
    </row>
    <row r="41" ht="32" customHeight="1">
      <c r="A41" s="28" t="inlineStr">
        <is>
          <t>SOTP_MWG_SHARES</t>
        </is>
      </c>
      <c r="B41" s="28" t="inlineStr">
        <is>
          <t>MWG SOTP</t>
        </is>
      </c>
      <c r="C41" s="28" t="inlineStr">
        <is>
          <t>MWG diluted shares</t>
        </is>
      </c>
      <c r="D41" s="28" t="inlineStr">
        <is>
          <t>mn shares</t>
        </is>
      </c>
      <c r="E41" s="111" t="n">
        <v>1477.2</v>
      </c>
      <c r="F41" s="111" t="n">
        <v>1477.2</v>
      </c>
      <c r="G41" s="111" t="n">
        <v>1477.2</v>
      </c>
      <c r="H41" s="112">
        <f>INDEX(E41:G41,1,MATCH($C$4,$E$10:$G$10,0))</f>
        <v/>
      </c>
      <c r="I41" s="28" t="inlineStr">
        <is>
          <t>Illustrative placeholder</t>
        </is>
      </c>
      <c r="J41" s="28" t="inlineStr">
        <is>
          <t>Replace with verified diluted shares at valuation date</t>
        </is>
      </c>
      <c r="K41" s="28" t="inlineStr">
        <is>
          <t>Analyst placeholder</t>
        </is>
      </c>
    </row>
  </sheetData>
  <autoFilter ref="A10:K41"/>
  <mergeCells count="2">
    <mergeCell ref="A2:K2"/>
    <mergeCell ref="A1:K1"/>
  </mergeCells>
  <dataValidations count="1">
    <dataValidation sqref="C4" showDropDown="0" showInputMessage="0" showErrorMessage="0" allowBlank="0" errorTitle="Invalid scenario" error="Select Bear, Base or Bull." promptTitle="Scenario" prompt="Select the active operating and valuation scenario." type="list">
      <formula1>"Bear,Base,Bull"</formula1>
    </dataValidation>
  </dataValidation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00A6A6"/>
    <outlinePr summaryBelow="1" summaryRight="1"/>
    <pageSetUpPr fitToPage="1"/>
  </sheetPr>
  <dimension ref="A1:M30"/>
  <sheetViews>
    <sheetView showGridLines="0" zoomScale="85"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15" customWidth="1" min="3" max="3"/>
    <col width="15" customWidth="1" min="4" max="4"/>
    <col width="15" customWidth="1" min="5" max="5"/>
    <col width="15" customWidth="1" min="6" max="6"/>
    <col width="15" customWidth="1" min="7" max="7"/>
    <col width="15" customWidth="1" min="8" max="8"/>
    <col width="4" customWidth="1" min="9" max="9"/>
    <col width="34" customWidth="1" min="10" max="10"/>
    <col width="20" customWidth="1" min="11" max="11"/>
    <col width="24" customWidth="1" min="12" max="12"/>
    <col width="45" customWidth="1" min="13" max="13"/>
  </cols>
  <sheetData>
    <row r="1" ht="31" customHeight="1">
      <c r="A1" s="20" t="inlineStr">
        <is>
          <t>DMX illustrative FCFF DCF</t>
        </is>
      </c>
    </row>
    <row r="2" ht="23" customHeight="1">
      <c r="A2" s="21" t="inlineStr">
        <is>
          <t>Management revenue path + explicit analyst EBIT/tax/D&amp;A/capex/NWC drivers. Mid-year convention; explicit pre-IPO Q1 to post-IPO bridge.</t>
        </is>
      </c>
    </row>
    <row r="4" ht="30" customHeight="1">
      <c r="B4" s="14" t="inlineStr">
        <is>
          <t>FCFF build</t>
        </is>
      </c>
      <c r="C4" s="14" t="inlineStr">
        <is>
          <t>2025A</t>
        </is>
      </c>
      <c r="D4" s="14" t="inlineStr">
        <is>
          <t>2026E</t>
        </is>
      </c>
      <c r="E4" s="14" t="inlineStr">
        <is>
          <t>2027E</t>
        </is>
      </c>
      <c r="F4" s="14" t="inlineStr">
        <is>
          <t>2028E</t>
        </is>
      </c>
      <c r="G4" s="14" t="inlineStr">
        <is>
          <t>2029E</t>
        </is>
      </c>
      <c r="H4" s="14" t="inlineStr">
        <is>
          <t>2030E</t>
        </is>
      </c>
      <c r="J4" s="14" t="inlineStr">
        <is>
          <t>Valuation summary</t>
        </is>
      </c>
      <c r="K4" s="14" t="inlineStr">
        <is>
          <t>Value</t>
        </is>
      </c>
      <c r="L4" s="14" t="inlineStr">
        <is>
          <t>Status</t>
        </is>
      </c>
      <c r="M4" s="14" t="inlineStr">
        <is>
          <t>Comment</t>
        </is>
      </c>
    </row>
    <row r="5" ht="27" customHeight="1">
      <c r="B5" s="113" t="inlineStr">
        <is>
          <t>Data status</t>
        </is>
      </c>
      <c r="C5" s="96" t="inlineStr">
        <is>
          <t>Actual / company presentation</t>
        </is>
      </c>
      <c r="D5" s="96" t="inlineStr">
        <is>
          <t>Illustrative forecast</t>
        </is>
      </c>
      <c r="E5" s="96" t="inlineStr">
        <is>
          <t>Illustrative forecast</t>
        </is>
      </c>
      <c r="F5" s="96" t="inlineStr">
        <is>
          <t>Illustrative forecast</t>
        </is>
      </c>
      <c r="G5" s="96" t="inlineStr">
        <is>
          <t>Illustrative forecast</t>
        </is>
      </c>
      <c r="H5" s="96" t="inlineStr">
        <is>
          <t>Illustrative forecast</t>
        </is>
      </c>
      <c r="J5" s="95" t="inlineStr">
        <is>
          <t>Active scenario</t>
        </is>
      </c>
      <c r="K5" s="114">
        <f>Assumptions!$C$4</f>
        <v/>
      </c>
      <c r="L5" s="28" t="inlineStr">
        <is>
          <t>Control</t>
        </is>
      </c>
      <c r="M5" s="28" t="inlineStr">
        <is>
          <t>Scenario switch</t>
        </is>
      </c>
    </row>
    <row r="6" ht="27" customHeight="1">
      <c r="B6" s="113" t="inlineStr">
        <is>
          <t>Management revenue path</t>
        </is>
      </c>
      <c r="C6" s="115">
        <f>Mgmt_Forecast!C6</f>
        <v/>
      </c>
      <c r="D6" s="115">
        <f>Mgmt_Forecast!D6</f>
        <v/>
      </c>
      <c r="E6" s="115">
        <f>Mgmt_Forecast!E6</f>
        <v/>
      </c>
      <c r="F6" s="115">
        <f>Mgmt_Forecast!F6</f>
        <v/>
      </c>
      <c r="G6" s="115">
        <f>Mgmt_Forecast!G6</f>
        <v/>
      </c>
      <c r="H6" s="115">
        <f>Mgmt_Forecast!H6</f>
        <v/>
      </c>
      <c r="J6" s="97" t="inlineStr">
        <is>
          <t>WACC</t>
        </is>
      </c>
      <c r="K6" s="116">
        <f>Assumptions!$H$18</f>
        <v/>
      </c>
      <c r="L6" s="31" t="inlineStr">
        <is>
          <t>Illustrative</t>
        </is>
      </c>
      <c r="M6" s="31" t="inlineStr">
        <is>
          <t>Nominal VND assumption</t>
        </is>
      </c>
    </row>
    <row r="7" ht="27" customHeight="1">
      <c r="B7" s="113" t="inlineStr">
        <is>
          <t>Management revenue growth</t>
        </is>
      </c>
      <c r="C7" s="99" t="inlineStr">
        <is>
          <t>N/A</t>
        </is>
      </c>
      <c r="D7" s="117">
        <f>Mgmt_Forecast!D7</f>
        <v/>
      </c>
      <c r="E7" s="117">
        <f>Mgmt_Forecast!E7</f>
        <v/>
      </c>
      <c r="F7" s="117">
        <f>Mgmt_Forecast!F7</f>
        <v/>
      </c>
      <c r="G7" s="117">
        <f>Mgmt_Forecast!G7</f>
        <v/>
      </c>
      <c r="H7" s="117">
        <f>Mgmt_Forecast!H7</f>
        <v/>
      </c>
      <c r="J7" s="95" t="inlineStr">
        <is>
          <t>Terminal growth</t>
        </is>
      </c>
      <c r="K7" s="118">
        <f>Assumptions!$H$19</f>
        <v/>
      </c>
      <c r="L7" s="28" t="inlineStr">
        <is>
          <t>Illustrative</t>
        </is>
      </c>
      <c r="M7" s="28" t="inlineStr">
        <is>
          <t>Must be below WACC</t>
        </is>
      </c>
    </row>
    <row r="8" ht="27" customHeight="1">
      <c r="B8" s="119" t="inlineStr">
        <is>
          <t>Model revenue</t>
        </is>
      </c>
      <c r="C8" s="120">
        <f>C6</f>
        <v/>
      </c>
      <c r="D8" s="120">
        <f>C8*(1+D7+D9)</f>
        <v/>
      </c>
      <c r="E8" s="120">
        <f>D8*(1+E7+E9)</f>
        <v/>
      </c>
      <c r="F8" s="120">
        <f>E8*(1+F7+F9)</f>
        <v/>
      </c>
      <c r="G8" s="120">
        <f>F8*(1+G7+G9)</f>
        <v/>
      </c>
      <c r="H8" s="120">
        <f>G8*(1+H7+H9)</f>
        <v/>
      </c>
      <c r="J8" s="97" t="inlineStr">
        <is>
          <t>Terminal FCFF</t>
        </is>
      </c>
      <c r="K8" s="46">
        <f>H21*(1+K7)</f>
        <v/>
      </c>
      <c r="L8" s="31" t="inlineStr">
        <is>
          <t>Calculated</t>
        </is>
      </c>
      <c r="M8" s="31" t="inlineStr">
        <is>
          <t>2030E FCFF grown by g</t>
        </is>
      </c>
    </row>
    <row r="9" ht="27" customHeight="1">
      <c r="B9" s="113" t="inlineStr">
        <is>
          <t>Scenario growth adjustment</t>
        </is>
      </c>
      <c r="C9" s="99" t="inlineStr">
        <is>
          <t>N/A</t>
        </is>
      </c>
      <c r="D9" s="117">
        <f>Assumptions!$H$11</f>
        <v/>
      </c>
      <c r="E9" s="117">
        <f>Assumptions!$H$11</f>
        <v/>
      </c>
      <c r="F9" s="117">
        <f>Assumptions!$H$11</f>
        <v/>
      </c>
      <c r="G9" s="117">
        <f>Assumptions!$H$11</f>
        <v/>
      </c>
      <c r="H9" s="117">
        <f>Assumptions!$H$11</f>
        <v/>
      </c>
      <c r="J9" s="95" t="inlineStr">
        <is>
          <t>Terminal value</t>
        </is>
      </c>
      <c r="K9" s="48">
        <f>K8/(K6-K7)</f>
        <v/>
      </c>
      <c r="L9" s="28" t="inlineStr">
        <is>
          <t>Calculated</t>
        </is>
      </c>
      <c r="M9" s="28" t="inlineStr">
        <is>
          <t>Perpetuity growth</t>
        </is>
      </c>
    </row>
    <row r="10" ht="27" customHeight="1">
      <c r="B10" s="113" t="inlineStr">
        <is>
          <t>Management gross margin reference</t>
        </is>
      </c>
      <c r="C10" s="121">
        <f>Mgmt_Forecast!C11</f>
        <v/>
      </c>
      <c r="D10" s="121">
        <f>Mgmt_Forecast!D11</f>
        <v/>
      </c>
      <c r="E10" s="121">
        <f>Mgmt_Forecast!E11</f>
        <v/>
      </c>
      <c r="F10" s="121">
        <f>Mgmt_Forecast!F11</f>
        <v/>
      </c>
      <c r="G10" s="121">
        <f>Mgmt_Forecast!G11</f>
        <v/>
      </c>
      <c r="H10" s="121">
        <f>Mgmt_Forecast!H11</f>
        <v/>
      </c>
      <c r="J10" s="97" t="inlineStr">
        <is>
          <t>PV of terminal value</t>
        </is>
      </c>
      <c r="K10" s="46">
        <f>K9*H23</f>
        <v/>
      </c>
      <c r="L10" s="31" t="inlineStr">
        <is>
          <t>Calculated</t>
        </is>
      </c>
      <c r="M10" s="31" t="inlineStr">
        <is>
          <t>Mid-year convention</t>
        </is>
      </c>
    </row>
    <row r="11" ht="27" customHeight="1">
      <c r="B11" s="113" t="inlineStr">
        <is>
          <t>Management NPAT reference</t>
        </is>
      </c>
      <c r="C11" s="122">
        <f>Mgmt_Forecast!C8</f>
        <v/>
      </c>
      <c r="D11" s="122">
        <f>Mgmt_Forecast!D8</f>
        <v/>
      </c>
      <c r="E11" s="122">
        <f>Mgmt_Forecast!E8</f>
        <v/>
      </c>
      <c r="F11" s="122">
        <f>Mgmt_Forecast!F8</f>
        <v/>
      </c>
      <c r="G11" s="122">
        <f>Mgmt_Forecast!G8</f>
        <v/>
      </c>
      <c r="H11" s="122">
        <f>Mgmt_Forecast!H8</f>
        <v/>
      </c>
      <c r="J11" s="95" t="inlineStr">
        <is>
          <t>PV of explicit FCFF</t>
        </is>
      </c>
      <c r="K11" s="48">
        <f>SUM(D24:H24)</f>
        <v/>
      </c>
      <c r="L11" s="28" t="inlineStr">
        <is>
          <t>Calculated</t>
        </is>
      </c>
      <c r="M11" s="28" t="inlineStr">
        <is>
          <t>2026E–2030E</t>
        </is>
      </c>
    </row>
    <row r="12" ht="27" customHeight="1">
      <c r="B12" s="113" t="inlineStr">
        <is>
          <t>Illustrative EBIT margin</t>
        </is>
      </c>
      <c r="C12" s="100" t="inlineStr">
        <is>
          <t>N/A</t>
        </is>
      </c>
      <c r="D12" s="121">
        <f>Assumptions!$H$12</f>
        <v/>
      </c>
      <c r="E12" s="121">
        <f>D12+Assumptions!$H$13</f>
        <v/>
      </c>
      <c r="F12" s="121">
        <f>E12+Assumptions!$H$13</f>
        <v/>
      </c>
      <c r="G12" s="121">
        <f>F12+Assumptions!$H$13</f>
        <v/>
      </c>
      <c r="H12" s="121">
        <f>G12+Assumptions!$H$13</f>
        <v/>
      </c>
      <c r="J12" s="97" t="inlineStr">
        <is>
          <t>Enterprise value</t>
        </is>
      </c>
      <c r="K12" s="46">
        <f>K10+K11</f>
        <v/>
      </c>
      <c r="L12" s="31" t="inlineStr">
        <is>
          <t>Calculated</t>
        </is>
      </c>
      <c r="M12" s="31" t="inlineStr">
        <is>
          <t>FCFF enterprise value</t>
        </is>
      </c>
    </row>
    <row r="13" ht="27" customHeight="1">
      <c r="B13" s="119" t="inlineStr">
        <is>
          <t>EBIT</t>
        </is>
      </c>
      <c r="C13" s="123" t="inlineStr">
        <is>
          <t>N/A</t>
        </is>
      </c>
      <c r="D13" s="123">
        <f>D8*D12</f>
        <v/>
      </c>
      <c r="E13" s="123">
        <f>E8*E12</f>
        <v/>
      </c>
      <c r="F13" s="123">
        <f>F8*F12</f>
        <v/>
      </c>
      <c r="G13" s="123">
        <f>G8*G12</f>
        <v/>
      </c>
      <c r="H13" s="123">
        <f>H8*H12</f>
        <v/>
      </c>
      <c r="J13" s="95" t="inlineStr">
        <is>
          <t>Terminal value / EV</t>
        </is>
      </c>
      <c r="K13" s="50">
        <f>K10/K12</f>
        <v/>
      </c>
      <c r="L13" s="28" t="inlineStr">
        <is>
          <t>Calculated</t>
        </is>
      </c>
      <c r="M13" s="28" t="inlineStr">
        <is>
          <t>High percentages require caution</t>
        </is>
      </c>
    </row>
    <row r="14" ht="25" customHeight="1">
      <c r="B14" s="113" t="inlineStr">
        <is>
          <t>Cash tax rate</t>
        </is>
      </c>
      <c r="C14" s="100" t="inlineStr">
        <is>
          <t>N/A</t>
        </is>
      </c>
      <c r="D14" s="121">
        <f>Assumptions!$H$14</f>
        <v/>
      </c>
      <c r="E14" s="121">
        <f>Assumptions!$H$14</f>
        <v/>
      </c>
      <c r="F14" s="121">
        <f>Assumptions!$H$14</f>
        <v/>
      </c>
      <c r="G14" s="121">
        <f>Assumptions!$H$14</f>
        <v/>
      </c>
      <c r="H14" s="121">
        <f>Assumptions!$H$14</f>
        <v/>
      </c>
    </row>
    <row r="15" ht="27" customHeight="1">
      <c r="B15" s="113" t="inlineStr">
        <is>
          <t>NOPAT</t>
        </is>
      </c>
      <c r="C15" s="123" t="inlineStr">
        <is>
          <t>N/A</t>
        </is>
      </c>
      <c r="D15" s="123">
        <f>D13*(1-D14)</f>
        <v/>
      </c>
      <c r="E15" s="123">
        <f>E13*(1-E14)</f>
        <v/>
      </c>
      <c r="F15" s="123">
        <f>F13*(1-F14)</f>
        <v/>
      </c>
      <c r="G15" s="123">
        <f>G13*(1-G14)</f>
        <v/>
      </c>
      <c r="H15" s="123">
        <f>H13*(1-H14)</f>
        <v/>
      </c>
      <c r="J15" s="95" t="inlineStr">
        <is>
          <t>Gross debt</t>
        </is>
      </c>
      <c r="K15" s="124">
        <f>Q1_Actuals!D36</f>
        <v/>
      </c>
      <c r="L15" s="28" t="inlineStr">
        <is>
          <t>Actual at 31-Mar-2026</t>
        </is>
      </c>
      <c r="M15" s="28" t="inlineStr">
        <is>
          <t>Short-term debt; no long-term debt line in source BS</t>
        </is>
      </c>
    </row>
    <row r="16" ht="27" customHeight="1">
      <c r="B16" s="113" t="inlineStr">
        <is>
          <t>D&amp;A / revenue</t>
        </is>
      </c>
      <c r="C16" s="100" t="inlineStr">
        <is>
          <t>N/A</t>
        </is>
      </c>
      <c r="D16" s="121">
        <f>Assumptions!$H$15</f>
        <v/>
      </c>
      <c r="E16" s="121">
        <f>Assumptions!$H$15</f>
        <v/>
      </c>
      <c r="F16" s="121">
        <f>Assumptions!$H$15</f>
        <v/>
      </c>
      <c r="G16" s="121">
        <f>Assumptions!$H$15</f>
        <v/>
      </c>
      <c r="H16" s="121">
        <f>Assumptions!$H$15</f>
        <v/>
      </c>
      <c r="J16" s="97" t="inlineStr">
        <is>
          <t>Cash &amp; equivalents</t>
        </is>
      </c>
      <c r="K16" s="125">
        <f>Q1_Actuals!D25</f>
        <v/>
      </c>
      <c r="L16" s="31" t="inlineStr">
        <is>
          <t>Actual at 31-Mar-2026</t>
        </is>
      </c>
      <c r="M16" s="31" t="inlineStr">
        <is>
          <t>Pre-IPO balance-sheet cash; later net proceeds are shown separately</t>
        </is>
      </c>
    </row>
    <row r="17" ht="27" customHeight="1">
      <c r="B17" s="113" t="inlineStr">
        <is>
          <t>D&amp;A</t>
        </is>
      </c>
      <c r="C17" s="123" t="inlineStr">
        <is>
          <t>N/A</t>
        </is>
      </c>
      <c r="D17" s="123">
        <f>D8*D16</f>
        <v/>
      </c>
      <c r="E17" s="123">
        <f>E8*E16</f>
        <v/>
      </c>
      <c r="F17" s="123">
        <f>F8*F16</f>
        <v/>
      </c>
      <c r="G17" s="123">
        <f>G8*G16</f>
        <v/>
      </c>
      <c r="H17" s="123">
        <f>H8*H16</f>
        <v/>
      </c>
      <c r="J17" s="95" t="inlineStr">
        <is>
          <t>Short-term investments</t>
        </is>
      </c>
      <c r="K17" s="124">
        <f>Q1_Actuals!D26</f>
        <v/>
      </c>
      <c r="L17" s="28" t="inlineStr">
        <is>
          <t>Actual at 31-Mar-2026</t>
        </is>
      </c>
      <c r="M17" s="28" t="inlineStr">
        <is>
          <t>Held-to-maturity investments</t>
        </is>
      </c>
    </row>
    <row r="18" ht="27" customHeight="1">
      <c r="B18" s="113" t="inlineStr">
        <is>
          <t>Capex / revenue</t>
        </is>
      </c>
      <c r="C18" s="100" t="inlineStr">
        <is>
          <t>N/A</t>
        </is>
      </c>
      <c r="D18" s="121">
        <f>Assumptions!$H$16</f>
        <v/>
      </c>
      <c r="E18" s="121">
        <f>Assumptions!$H$16</f>
        <v/>
      </c>
      <c r="F18" s="121">
        <f>Assumptions!$H$16</f>
        <v/>
      </c>
      <c r="G18" s="121">
        <f>Assumptions!$H$16</f>
        <v/>
      </c>
      <c r="H18" s="121">
        <f>Assumptions!$H$16</f>
        <v/>
      </c>
      <c r="J18" s="97" t="inlineStr">
        <is>
          <t>Long-term deposits</t>
        </is>
      </c>
      <c r="K18" s="125">
        <f>Q1_Actuals!D27</f>
        <v/>
      </c>
      <c r="L18" s="31" t="inlineStr">
        <is>
          <t>Actual at 31-Mar-2026</t>
        </is>
      </c>
      <c r="M18" s="31" t="inlineStr">
        <is>
          <t>Held-to-maturity investments</t>
        </is>
      </c>
    </row>
    <row r="19" ht="27" customHeight="1">
      <c r="B19" s="113" t="inlineStr">
        <is>
          <t>Capex (cash outflow)</t>
        </is>
      </c>
      <c r="C19" s="123" t="inlineStr">
        <is>
          <t>N/A</t>
        </is>
      </c>
      <c r="D19" s="123">
        <f>D8*D18</f>
        <v/>
      </c>
      <c r="E19" s="123">
        <f>E8*E18</f>
        <v/>
      </c>
      <c r="F19" s="123">
        <f>F8*F18</f>
        <v/>
      </c>
      <c r="G19" s="123">
        <f>G8*G18</f>
        <v/>
      </c>
      <c r="H19" s="123">
        <f>H8*H18</f>
        <v/>
      </c>
      <c r="J19" s="95" t="inlineStr">
        <is>
          <t>Lease liabilities</t>
        </is>
      </c>
      <c r="K19" s="124">
        <f>Assumptions!$H$21</f>
        <v/>
      </c>
      <c r="L19" s="28" t="inlineStr">
        <is>
          <t>Illustrative placeholder</t>
        </is>
      </c>
      <c r="M19" s="28" t="inlineStr">
        <is>
          <t>Replace when lease convention is verified</t>
        </is>
      </c>
    </row>
    <row r="20" ht="27" customHeight="1">
      <c r="B20" s="113" t="inlineStr">
        <is>
          <t>Change in NWC (cash outflow)</t>
        </is>
      </c>
      <c r="C20" s="120" t="inlineStr">
        <is>
          <t>N/A</t>
        </is>
      </c>
      <c r="D20" s="115">
        <f>MAX(0,D8-C8)*Assumptions!$H$17</f>
        <v/>
      </c>
      <c r="E20" s="115">
        <f>MAX(0,E8-D8)*Assumptions!$H$17</f>
        <v/>
      </c>
      <c r="F20" s="115">
        <f>MAX(0,F8-E8)*Assumptions!$H$17</f>
        <v/>
      </c>
      <c r="G20" s="115">
        <f>MAX(0,G8-F8)*Assumptions!$H$17</f>
        <v/>
      </c>
      <c r="H20" s="115">
        <f>MAX(0,H8-G8)*Assumptions!$H$17</f>
        <v/>
      </c>
      <c r="J20" s="97" t="inlineStr">
        <is>
          <t>Other claims</t>
        </is>
      </c>
      <c r="K20" s="125">
        <f>Assumptions!$H$22</f>
        <v/>
      </c>
      <c r="L20" s="31" t="inlineStr">
        <is>
          <t>Illustrative placeholder</t>
        </is>
      </c>
      <c r="M20" s="31" t="inlineStr">
        <is>
          <t>No unsupported claim inserted</t>
        </is>
      </c>
    </row>
    <row r="21" ht="27" customHeight="1">
      <c r="B21" s="119" t="inlineStr">
        <is>
          <t>FCFF</t>
        </is>
      </c>
      <c r="C21" s="123" t="inlineStr">
        <is>
          <t>N/A</t>
        </is>
      </c>
      <c r="D21" s="123">
        <f>D15+D17-D19-D20</f>
        <v/>
      </c>
      <c r="E21" s="123">
        <f>E15+E17-E19-E20</f>
        <v/>
      </c>
      <c r="F21" s="123">
        <f>F15+F17-F19-F20</f>
        <v/>
      </c>
      <c r="G21" s="123">
        <f>G15+G17-G19-G20</f>
        <v/>
      </c>
      <c r="H21" s="123">
        <f>H15+H17-H19-H20</f>
        <v/>
      </c>
      <c r="J21" s="95" t="inlineStr">
        <is>
          <t>EraBlue stake value</t>
        </is>
      </c>
      <c r="K21" s="124">
        <f>Assumptions!$H$20</f>
        <v/>
      </c>
      <c r="L21" s="28" t="inlineStr">
        <is>
          <t>Illustrative</t>
        </is>
      </c>
      <c r="M21" s="28" t="inlineStr">
        <is>
          <t>Added once; FCFF excludes JV earnings</t>
        </is>
      </c>
    </row>
    <row r="22" ht="27" customHeight="1">
      <c r="B22" s="113" t="inlineStr">
        <is>
          <t>Discount period</t>
        </is>
      </c>
      <c r="C22" s="126" t="inlineStr">
        <is>
          <t>N/A</t>
        </is>
      </c>
      <c r="D22" s="126" t="n">
        <v>0.5</v>
      </c>
      <c r="E22" s="126" t="n">
        <v>1.5</v>
      </c>
      <c r="F22" s="126" t="n">
        <v>2.5</v>
      </c>
      <c r="G22" s="126" t="n">
        <v>3.5</v>
      </c>
      <c r="H22" s="126" t="n">
        <v>4.5</v>
      </c>
      <c r="J22" s="97" t="inlineStr">
        <is>
          <t>Net IPO proceeds adjustment</t>
        </is>
      </c>
      <c r="K22" s="125">
        <f>IPO_Bridge!D20</f>
        <v/>
      </c>
      <c r="L22" s="31" t="inlineStr">
        <is>
          <t>Pro forma after 31-Mar-2026</t>
        </is>
      </c>
      <c r="M22" s="31" t="inlineStr">
        <is>
          <t>Estimated net proceeds included once; planned debt repayment is not presented as reported actual</t>
        </is>
      </c>
    </row>
    <row r="23" ht="27" customHeight="1">
      <c r="B23" s="113" t="inlineStr">
        <is>
          <t>Discount factor</t>
        </is>
      </c>
      <c r="C23" s="99" t="inlineStr">
        <is>
          <t>N/A</t>
        </is>
      </c>
      <c r="D23" s="99">
        <f>1/(1+$K$6)^D22</f>
        <v/>
      </c>
      <c r="E23" s="99">
        <f>1/(1+$K$6)^E22</f>
        <v/>
      </c>
      <c r="F23" s="99">
        <f>1/(1+$K$6)^F22</f>
        <v/>
      </c>
      <c r="G23" s="99">
        <f>1/(1+$K$6)^G22</f>
        <v/>
      </c>
      <c r="H23" s="99">
        <f>1/(1+$K$6)^H22</f>
        <v/>
      </c>
      <c r="J23" s="95" t="inlineStr">
        <is>
          <t>DMX equity value</t>
        </is>
      </c>
      <c r="K23" s="48">
        <f>K12-K15+K16+K17+K18-K19-K20+K21+K22</f>
        <v/>
      </c>
      <c r="L23" s="28" t="inlineStr">
        <is>
          <t>Calculated</t>
        </is>
      </c>
      <c r="M23" s="28" t="inlineStr">
        <is>
          <t>EV-to-equity bridge</t>
        </is>
      </c>
    </row>
    <row r="24" ht="27" customHeight="1">
      <c r="B24" s="119" t="inlineStr">
        <is>
          <t>Present value of FCFF</t>
        </is>
      </c>
      <c r="C24" s="120" t="inlineStr">
        <is>
          <t>N/A</t>
        </is>
      </c>
      <c r="D24" s="120">
        <f>D21*D23</f>
        <v/>
      </c>
      <c r="E24" s="120">
        <f>E21*E23</f>
        <v/>
      </c>
      <c r="F24" s="120">
        <f>F21*F23</f>
        <v/>
      </c>
      <c r="G24" s="120">
        <f>G21*G23</f>
        <v/>
      </c>
      <c r="H24" s="120">
        <f>H21*H23</f>
        <v/>
      </c>
      <c r="J24" s="97" t="inlineStr">
        <is>
          <t>Post-IPO diluted shares</t>
        </is>
      </c>
      <c r="K24" s="127">
        <f>IPO_Bridge!D11</f>
        <v/>
      </c>
      <c r="L24" s="31" t="inlineStr">
        <is>
          <t>Actual</t>
        </is>
      </c>
      <c r="M24" s="31" t="inlineStr">
        <is>
          <t>Million shares</t>
        </is>
      </c>
    </row>
    <row r="25" ht="27" customHeight="1">
      <c r="J25" s="95" t="inlineStr">
        <is>
          <t>DCF value per share</t>
        </is>
      </c>
      <c r="K25" s="128">
        <f>K23*1000/K24</f>
        <v/>
      </c>
      <c r="L25" s="28" t="inlineStr">
        <is>
          <t>Illustrative</t>
        </is>
      </c>
      <c r="M25" s="28" t="inlineStr">
        <is>
          <t>VND/share; not a target price</t>
        </is>
      </c>
    </row>
    <row r="26" ht="27" customHeight="1">
      <c r="J26" s="97" t="inlineStr">
        <is>
          <t>IPO offer price anchor</t>
        </is>
      </c>
      <c r="K26" s="129">
        <f>IPO_Bridge!D5</f>
        <v/>
      </c>
      <c r="L26" s="31" t="inlineStr">
        <is>
          <t>Actual transaction anchor</t>
        </is>
      </c>
      <c r="M26" s="31" t="inlineStr">
        <is>
          <t>Not a current market price</t>
        </is>
      </c>
    </row>
    <row r="28" ht="27" customHeight="1">
      <c r="B28" s="42" t="inlineStr">
        <is>
          <t>Key limitation: an integrated three-statement DMX forecast is not claimed here because the public case set does not contain enough segment disclosures to forecast every balance-sheet line. This transparent FCFF build therefore uses explicit cash-flow drivers and the latest actual cash/debt bridge; assumptions are editable and separately labelled.</t>
        </is>
      </c>
      <c r="J28" s="130" t="inlineStr">
        <is>
          <t>Same-date market price / date</t>
        </is>
      </c>
      <c r="K28" s="131">
        <f>"N/A"</f>
        <v/>
      </c>
      <c r="L28" s="131" t="inlineStr">
        <is>
          <t>Unavailable</t>
        </is>
      </c>
      <c r="M28" s="131" t="inlineStr">
        <is>
          <t>No price/date supplied</t>
        </is>
      </c>
    </row>
    <row r="29" ht="27" customHeight="1">
      <c r="J29" s="130" t="inlineStr">
        <is>
          <t>Market conclusion</t>
        </is>
      </c>
      <c r="K29" s="131">
        <f>"UNAVAILABLE — model output only"</f>
        <v/>
      </c>
      <c r="L29" s="131" t="inlineStr">
        <is>
          <t>Publication guard</t>
        </is>
      </c>
      <c r="M29" s="131" t="inlineStr">
        <is>
          <t>No upside/downside or recommendation</t>
        </is>
      </c>
    </row>
    <row r="30"/>
  </sheetData>
  <mergeCells count="3">
    <mergeCell ref="A2:M2"/>
    <mergeCell ref="B28:H30"/>
    <mergeCell ref="A1:M1"/>
  </mergeCell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11.xml><?xml version="1.0" encoding="utf-8"?>
<worksheet xmlns="http://schemas.openxmlformats.org/spreadsheetml/2006/main">
  <sheetPr>
    <tabColor rgb="0000A6A6"/>
    <outlinePr summaryBelow="1" summaryRight="1"/>
    <pageSetUpPr fitToPage="1"/>
  </sheetPr>
  <dimension ref="A1:L29"/>
  <sheetViews>
    <sheetView showGridLines="0" zoomScale="85" workbookViewId="0">
      <pane ySplit="4" topLeftCell="A5" activePane="bottomLeft" state="frozen"/>
      <selection pane="bottomLeft" activeCell="A1" sqref="A1"/>
    </sheetView>
  </sheetViews>
  <sheetFormatPr baseColWidth="8" defaultRowHeight="15"/>
  <cols>
    <col width="24" customWidth="1" min="1" max="1"/>
    <col width="20" customWidth="1" min="2" max="2"/>
    <col width="21" customWidth="1" min="3" max="3"/>
    <col width="18" customWidth="1" min="4" max="4"/>
    <col width="18" customWidth="1" min="5" max="5"/>
    <col width="18" customWidth="1" min="6" max="6"/>
    <col width="19" customWidth="1" min="7" max="7"/>
    <col width="17" customWidth="1" min="8" max="8"/>
    <col width="20" customWidth="1" min="9" max="9"/>
    <col width="28" customWidth="1" min="10" max="10"/>
    <col width="28" customWidth="1" min="11" max="11"/>
    <col width="32" customWidth="1" min="12" max="12"/>
  </cols>
  <sheetData>
    <row r="1" ht="31" customHeight="1">
      <c r="A1" s="20" t="inlineStr">
        <is>
          <t>MWG illustrative equity-level SOTP</t>
        </is>
      </c>
    </row>
    <row r="2" ht="23" customHeight="1">
      <c r="A2" s="21" t="inlineStr">
        <is>
          <t>DMX includes EraBlue once. BHX, An Khang and AVAKids sit outside the DMX perimeter. Parent-only adjustments avoid debt double count.</t>
        </is>
      </c>
    </row>
    <row r="4" ht="30" customHeight="1">
      <c r="A4" s="14" t="inlineStr">
        <is>
          <t>Asset</t>
        </is>
      </c>
      <c r="B4" s="14" t="inlineStr">
        <is>
          <t>Method</t>
        </is>
      </c>
      <c r="C4" s="14" t="inlineStr">
        <is>
          <t>Metric</t>
        </is>
      </c>
      <c r="D4" s="14" t="inlineStr">
        <is>
          <t>Metric value</t>
        </is>
      </c>
      <c r="E4" s="14" t="inlineStr">
        <is>
          <t>Multiple / factor</t>
        </is>
      </c>
      <c r="F4" s="14" t="inlineStr">
        <is>
          <t>Net debt / claims</t>
        </is>
      </c>
      <c r="G4" s="14" t="inlineStr">
        <is>
          <t>Equity value 100%</t>
        </is>
      </c>
      <c r="H4" s="14" t="inlineStr">
        <is>
          <t>MWG ownership</t>
        </is>
      </c>
      <c r="I4" s="14" t="inlineStr">
        <is>
          <t>Attributable to MWG</t>
        </is>
      </c>
      <c r="J4" s="14" t="inlineStr">
        <is>
          <t>Source / model ref</t>
        </is>
      </c>
      <c r="K4" s="14" t="inlineStr">
        <is>
          <t>Double-count bucket</t>
        </is>
      </c>
      <c r="L4" s="14" t="inlineStr">
        <is>
          <t>Status / limitation</t>
        </is>
      </c>
    </row>
    <row r="5" ht="31" customHeight="1">
      <c r="A5" s="28" t="inlineStr">
        <is>
          <t>DMX</t>
        </is>
      </c>
      <c r="B5" s="28" t="inlineStr">
        <is>
          <t>FCFF DCF</t>
        </is>
      </c>
      <c r="C5" s="28" t="inlineStr">
        <is>
          <t>DMX equity value</t>
        </is>
      </c>
      <c r="D5" s="124">
        <f>DMX_Valuation!K23</f>
        <v/>
      </c>
      <c r="E5" s="132" t="n">
        <v>1</v>
      </c>
      <c r="F5" s="48" t="n">
        <v>0</v>
      </c>
      <c r="G5" s="48">
        <f>D5</f>
        <v/>
      </c>
      <c r="H5" s="118">
        <f>Assumptions!$H$23</f>
        <v/>
      </c>
      <c r="I5" s="48">
        <f>G5*H5</f>
        <v/>
      </c>
      <c r="J5" s="28" t="inlineStr">
        <is>
          <t>DMX_Valuation</t>
        </is>
      </c>
      <c r="K5" s="28" t="inlineStr">
        <is>
          <t>DMX_DCF_INCL_ERABLUE</t>
        </is>
      </c>
      <c r="L5" s="28" t="inlineStr">
        <is>
          <t>Illustrative; ownership is a rounded proxy</t>
        </is>
      </c>
    </row>
    <row r="6" ht="31" customHeight="1">
      <c r="A6" s="31" t="inlineStr">
        <is>
          <t>BHX</t>
        </is>
      </c>
      <c r="B6" s="31" t="inlineStr">
        <is>
          <t>EV / Sales</t>
        </is>
      </c>
      <c r="C6" s="31" t="inlineStr">
        <is>
          <t>Revenue</t>
        </is>
      </c>
      <c r="D6" s="125">
        <f>Assumptions!$H$24</f>
        <v/>
      </c>
      <c r="E6" s="133">
        <f>Assumptions!$H$25</f>
        <v/>
      </c>
      <c r="F6" s="125">
        <f>Assumptions!$H$26</f>
        <v/>
      </c>
      <c r="G6" s="46">
        <f>D6*E6-F6</f>
        <v/>
      </c>
      <c r="H6" s="116">
        <f>Assumptions!$H$27</f>
        <v/>
      </c>
      <c r="I6" s="46">
        <f>G6*H6</f>
        <v/>
      </c>
      <c r="J6" s="31" t="inlineStr">
        <is>
          <t>Assumptions</t>
        </is>
      </c>
      <c r="K6" s="31" t="inlineStr">
        <is>
          <t>BHX</t>
        </is>
      </c>
      <c r="L6" s="31" t="inlineStr">
        <is>
          <t>Illustrative; requires standalone peer/DCF work</t>
        </is>
      </c>
    </row>
    <row r="7" ht="31" customHeight="1">
      <c r="A7" s="28" t="inlineStr">
        <is>
          <t>An Khang</t>
        </is>
      </c>
      <c r="B7" s="28" t="inlineStr">
        <is>
          <t>EV / Sales</t>
        </is>
      </c>
      <c r="C7" s="28" t="inlineStr">
        <is>
          <t>Revenue</t>
        </is>
      </c>
      <c r="D7" s="124">
        <f>Assumptions!$H$28</f>
        <v/>
      </c>
      <c r="E7" s="134">
        <f>Assumptions!$H$29</f>
        <v/>
      </c>
      <c r="F7" s="124">
        <f>Assumptions!$H$30</f>
        <v/>
      </c>
      <c r="G7" s="48">
        <f>D7*E7-F7</f>
        <v/>
      </c>
      <c r="H7" s="118">
        <f>Assumptions!$H$31</f>
        <v/>
      </c>
      <c r="I7" s="48">
        <f>G7*H7</f>
        <v/>
      </c>
      <c r="J7" s="28" t="inlineStr">
        <is>
          <t>Assumptions</t>
        </is>
      </c>
      <c r="K7" s="28" t="inlineStr">
        <is>
          <t>AN_KHANG</t>
        </is>
      </c>
      <c r="L7" s="28" t="inlineStr">
        <is>
          <t>Illustrative; outside DMX LFL perimeter</t>
        </is>
      </c>
    </row>
    <row r="8" ht="31" customHeight="1">
      <c r="A8" s="31" t="inlineStr">
        <is>
          <t>AVAKids</t>
        </is>
      </c>
      <c r="B8" s="31" t="inlineStr">
        <is>
          <t>EV / Sales</t>
        </is>
      </c>
      <c r="C8" s="31" t="inlineStr">
        <is>
          <t>Revenue</t>
        </is>
      </c>
      <c r="D8" s="125">
        <f>Assumptions!$H$32</f>
        <v/>
      </c>
      <c r="E8" s="133">
        <f>Assumptions!$H$33</f>
        <v/>
      </c>
      <c r="F8" s="125">
        <f>Assumptions!$H$34</f>
        <v/>
      </c>
      <c r="G8" s="46">
        <f>D8*E8-F8</f>
        <v/>
      </c>
      <c r="H8" s="116">
        <f>Assumptions!$H$35</f>
        <v/>
      </c>
      <c r="I8" s="46">
        <f>G8*H8</f>
        <v/>
      </c>
      <c r="J8" s="31" t="inlineStr">
        <is>
          <t>Assumptions</t>
        </is>
      </c>
      <c r="K8" s="31" t="inlineStr">
        <is>
          <t>AVAKIDS</t>
        </is>
      </c>
      <c r="L8" s="31" t="inlineStr">
        <is>
          <t>Illustrative; outside DMX LFL perimeter</t>
        </is>
      </c>
    </row>
    <row r="9" ht="31" customHeight="1">
      <c r="A9" s="28" t="inlineStr">
        <is>
          <t>Other investments</t>
        </is>
      </c>
      <c r="B9" s="28" t="inlineStr">
        <is>
          <t>Equity value</t>
        </is>
      </c>
      <c r="C9" s="28" t="inlineStr">
        <is>
          <t>Fixed equity value</t>
        </is>
      </c>
      <c r="D9" s="124">
        <f>Assumptions!$H$36</f>
        <v/>
      </c>
      <c r="E9" s="132" t="n">
        <v>1</v>
      </c>
      <c r="F9" s="48" t="n">
        <v>0</v>
      </c>
      <c r="G9" s="48">
        <f>D9*E9-F9</f>
        <v/>
      </c>
      <c r="H9" s="50" t="n">
        <v>1</v>
      </c>
      <c r="I9" s="48">
        <f>G9*H9</f>
        <v/>
      </c>
      <c r="J9" s="28" t="inlineStr">
        <is>
          <t>Assumptions</t>
        </is>
      </c>
      <c r="K9" s="28" t="inlineStr">
        <is>
          <t>OTHER_INVESTMENTS</t>
        </is>
      </c>
      <c r="L9" s="28" t="inlineStr">
        <is>
          <t>Illustrative placeholder</t>
        </is>
      </c>
    </row>
    <row r="10" ht="31" customHeight="1">
      <c r="A10" s="31" t="inlineStr">
        <is>
          <t>Parent non-operating assets</t>
        </is>
      </c>
      <c r="B10" s="31" t="inlineStr">
        <is>
          <t>Equity value</t>
        </is>
      </c>
      <c r="C10" s="31" t="inlineStr">
        <is>
          <t>Fixed equity value</t>
        </is>
      </c>
      <c r="D10" s="125">
        <f>Assumptions!$H$37</f>
        <v/>
      </c>
      <c r="E10" s="135" t="n">
        <v>1</v>
      </c>
      <c r="F10" s="46" t="n">
        <v>0</v>
      </c>
      <c r="G10" s="46">
        <f>D10*E10-F10</f>
        <v/>
      </c>
      <c r="H10" s="136" t="n">
        <v>1</v>
      </c>
      <c r="I10" s="46">
        <f>G10*H10</f>
        <v/>
      </c>
      <c r="J10" s="31" t="inlineStr">
        <is>
          <t>Assumptions</t>
        </is>
      </c>
      <c r="K10" s="31" t="inlineStr">
        <is>
          <t>PARENT_NONOP_ASSETS</t>
        </is>
      </c>
      <c r="L10" s="31" t="inlineStr">
        <is>
          <t>Illustrative placeholder</t>
        </is>
      </c>
    </row>
    <row r="13" ht="21" customHeight="1">
      <c r="A13" s="5" t="inlineStr">
        <is>
          <t>MWG NAV BRIDGE — ILLUSTRATIVE</t>
        </is>
      </c>
      <c r="G13" s="137" t="inlineStr">
        <is>
          <t>Status</t>
        </is>
      </c>
      <c r="H13" s="137" t="inlineStr">
        <is>
          <t>Interpretation</t>
        </is>
      </c>
      <c r="I13" s="137" t="n"/>
      <c r="J13" s="137" t="n"/>
      <c r="K13" s="137" t="n"/>
      <c r="L13" s="137" t="n"/>
    </row>
    <row r="14" ht="28" customHeight="1">
      <c r="A14" s="97" t="inlineStr">
        <is>
          <t>Gross attributable asset value</t>
        </is>
      </c>
      <c r="B14" s="31" t="n"/>
      <c r="C14" s="46">
        <f>SUM(I5:I10)</f>
        <v/>
      </c>
      <c r="D14" s="31" t="inlineStr">
        <is>
          <t>VND bn</t>
        </is>
      </c>
      <c r="E14" s="31" t="n"/>
      <c r="F14" s="31" t="n"/>
      <c r="G14" s="31" t="inlineStr">
        <is>
          <t>Illustrative</t>
        </is>
      </c>
      <c r="H14" s="31" t="inlineStr">
        <is>
          <t>Sum of equity values attributable to MWG</t>
        </is>
      </c>
      <c r="I14" s="31" t="n"/>
      <c r="J14" s="31" t="n"/>
      <c r="K14" s="31" t="n"/>
      <c r="L14" s="31" t="n"/>
    </row>
    <row r="15" ht="28" customHeight="1">
      <c r="A15" s="95" t="inlineStr">
        <is>
          <t>Less: parent-only net debt</t>
        </is>
      </c>
      <c r="B15" s="28" t="n"/>
      <c r="C15" s="124">
        <f>Assumptions!$H$38</f>
        <v/>
      </c>
      <c r="D15" s="28" t="inlineStr">
        <is>
          <t>VND bn</t>
        </is>
      </c>
      <c r="E15" s="28" t="n"/>
      <c r="F15" s="28" t="n"/>
      <c r="G15" s="28" t="inlineStr">
        <is>
          <t>Illustrative</t>
        </is>
      </c>
      <c r="H15" s="28" t="inlineStr">
        <is>
          <t>Not consolidated net debt</t>
        </is>
      </c>
      <c r="I15" s="28" t="n"/>
      <c r="J15" s="28" t="n"/>
      <c r="K15" s="28" t="n"/>
      <c r="L15" s="28" t="n"/>
    </row>
    <row r="16" ht="28" customHeight="1">
      <c r="A16" s="97" t="inlineStr">
        <is>
          <t>Less: parent provisions / claims</t>
        </is>
      </c>
      <c r="B16" s="31" t="n"/>
      <c r="C16" s="125">
        <f>Assumptions!$H$39</f>
        <v/>
      </c>
      <c r="D16" s="31" t="inlineStr">
        <is>
          <t>VND bn</t>
        </is>
      </c>
      <c r="E16" s="31" t="n"/>
      <c r="F16" s="31" t="n"/>
      <c r="G16" s="31" t="inlineStr">
        <is>
          <t>Illustrative</t>
        </is>
      </c>
      <c r="H16" s="31" t="inlineStr">
        <is>
          <t>Separate parent claims</t>
        </is>
      </c>
      <c r="I16" s="31" t="n"/>
      <c r="J16" s="31" t="n"/>
      <c r="K16" s="31" t="n"/>
      <c r="L16" s="31" t="n"/>
    </row>
    <row r="17" ht="28" customHeight="1">
      <c r="A17" s="95" t="inlineStr">
        <is>
          <t>NAV before holdco discount</t>
        </is>
      </c>
      <c r="B17" s="28" t="n"/>
      <c r="C17" s="48">
        <f>C14-C15-C16</f>
        <v/>
      </c>
      <c r="D17" s="28" t="inlineStr">
        <is>
          <t>VND bn</t>
        </is>
      </c>
      <c r="E17" s="28" t="n"/>
      <c r="F17" s="28" t="n"/>
      <c r="G17" s="28" t="inlineStr">
        <is>
          <t>Illustrative</t>
        </is>
      </c>
      <c r="H17" s="28" t="inlineStr">
        <is>
          <t>Presented before applying discount</t>
        </is>
      </c>
      <c r="I17" s="28" t="n"/>
      <c r="J17" s="28" t="n"/>
      <c r="K17" s="28" t="n"/>
      <c r="L17" s="28" t="n"/>
    </row>
    <row r="18" ht="28" customHeight="1">
      <c r="A18" s="97" t="inlineStr">
        <is>
          <t>Holding-company discount</t>
        </is>
      </c>
      <c r="B18" s="31" t="n"/>
      <c r="C18" s="116">
        <f>Assumptions!$H$40</f>
        <v/>
      </c>
      <c r="D18" s="31" t="inlineStr">
        <is>
          <t>%</t>
        </is>
      </c>
      <c r="E18" s="31" t="n"/>
      <c r="F18" s="31" t="n"/>
      <c r="G18" s="31" t="inlineStr">
        <is>
          <t>Illustrative</t>
        </is>
      </c>
      <c r="H18" s="31" t="inlineStr">
        <is>
          <t>Sensitivity, not a target-price plug</t>
        </is>
      </c>
      <c r="I18" s="31" t="n"/>
      <c r="J18" s="31" t="n"/>
      <c r="K18" s="31" t="n"/>
      <c r="L18" s="31" t="n"/>
    </row>
    <row r="19" ht="28" customHeight="1">
      <c r="A19" s="95" t="inlineStr">
        <is>
          <t>NAV after holdco discount</t>
        </is>
      </c>
      <c r="B19" s="28" t="n"/>
      <c r="C19" s="48">
        <f>C17*(1-C18)</f>
        <v/>
      </c>
      <c r="D19" s="28" t="inlineStr">
        <is>
          <t>VND bn</t>
        </is>
      </c>
      <c r="E19" s="28" t="n"/>
      <c r="F19" s="28" t="n"/>
      <c r="G19" s="28" t="inlineStr">
        <is>
          <t>Illustrative</t>
        </is>
      </c>
      <c r="H19" s="28" t="inlineStr">
        <is>
          <t>Illustrative SOTP equity value</t>
        </is>
      </c>
      <c r="I19" s="28" t="n"/>
      <c r="J19" s="28" t="n"/>
      <c r="K19" s="28" t="n"/>
      <c r="L19" s="28" t="n"/>
    </row>
    <row r="20" ht="28" customHeight="1">
      <c r="A20" s="97" t="inlineStr">
        <is>
          <t>MWG diluted shares</t>
        </is>
      </c>
      <c r="B20" s="31" t="n"/>
      <c r="C20" s="127">
        <f>Assumptions!$H$41</f>
        <v/>
      </c>
      <c r="D20" s="31" t="inlineStr">
        <is>
          <t>mn shares</t>
        </is>
      </c>
      <c r="E20" s="31" t="n"/>
      <c r="F20" s="31" t="n"/>
      <c r="G20" s="31" t="inlineStr">
        <is>
          <t>Illustrative</t>
        </is>
      </c>
      <c r="H20" s="31" t="inlineStr">
        <is>
          <t>Unverified placeholder at this stage</t>
        </is>
      </c>
      <c r="I20" s="31" t="n"/>
      <c r="J20" s="31" t="n"/>
      <c r="K20" s="31" t="n"/>
      <c r="L20" s="31" t="n"/>
    </row>
    <row r="21" ht="28" customHeight="1">
      <c r="A21" s="95" t="inlineStr">
        <is>
          <t>Illustrative SOTP value / share</t>
        </is>
      </c>
      <c r="B21" s="28" t="n"/>
      <c r="C21" s="128">
        <f>C19*1000/C20</f>
        <v/>
      </c>
      <c r="D21" s="28" t="inlineStr">
        <is>
          <t>VND/share</t>
        </is>
      </c>
      <c r="E21" s="28" t="n"/>
      <c r="F21" s="28" t="n"/>
      <c r="G21" s="28" t="inlineStr">
        <is>
          <t>Illustrative</t>
        </is>
      </c>
      <c r="H21" s="28" t="inlineStr">
        <is>
          <t>Not a target price</t>
        </is>
      </c>
      <c r="I21" s="28" t="n"/>
      <c r="J21" s="28" t="n"/>
      <c r="K21" s="28" t="n"/>
      <c r="L21" s="28" t="n"/>
    </row>
    <row r="23" ht="28" customHeight="1">
      <c r="A23" s="130" t="inlineStr">
        <is>
          <t>Same-date MWG price / date</t>
        </is>
      </c>
      <c r="B23" s="131" t="n"/>
      <c r="C23" s="138">
        <f>"N/A"</f>
        <v/>
      </c>
      <c r="D23" s="131" t="inlineStr">
        <is>
          <t>N/A</t>
        </is>
      </c>
      <c r="E23" s="131" t="n"/>
      <c r="F23" s="131" t="n"/>
      <c r="G23" s="131" t="inlineStr">
        <is>
          <t>Publication guard</t>
        </is>
      </c>
      <c r="H23" s="131" t="inlineStr">
        <is>
          <t>Market data gate not met</t>
        </is>
      </c>
      <c r="I23" s="131" t="n"/>
      <c r="J23" s="131" t="n"/>
      <c r="K23" s="131" t="n"/>
      <c r="L23" s="131" t="n"/>
    </row>
    <row r="24" ht="28" customHeight="1">
      <c r="A24" s="130" t="inlineStr">
        <is>
          <t>Upside/downside or recommendation</t>
        </is>
      </c>
      <c r="B24" s="131" t="n"/>
      <c r="C24" s="138">
        <f>"UNAVAILABLE"</f>
        <v/>
      </c>
      <c r="D24" s="131" t="inlineStr">
        <is>
          <t>N/A</t>
        </is>
      </c>
      <c r="E24" s="131" t="n"/>
      <c r="F24" s="131" t="n"/>
      <c r="G24" s="131" t="inlineStr">
        <is>
          <t>Publication guard</t>
        </is>
      </c>
      <c r="H24" s="131" t="inlineStr">
        <is>
          <t>No market conclusion without verified price/date</t>
        </is>
      </c>
      <c r="I24" s="131" t="n"/>
      <c r="J24" s="131" t="n"/>
      <c r="K24" s="131" t="n"/>
      <c r="L24" s="131" t="n"/>
    </row>
    <row r="27">
      <c r="A27" s="139" t="inlineStr">
        <is>
          <t>Perimeter control — EraBlue appears only within the DMX DCF equity bridge. It is not added as a separate MWG SOTP row. BHX, An Khang and AVAKids are separately valued outside DMX. Parent-only net debt is used because subsidiary values are already equity values; consolidated MWG net debt would double count subsidiary financing.</t>
        </is>
      </c>
    </row>
    <row r="28"/>
    <row r="29"/>
  </sheetData>
  <mergeCells count="25">
    <mergeCell ref="A24:B24"/>
    <mergeCell ref="A15:B15"/>
    <mergeCell ref="H20:L20"/>
    <mergeCell ref="A2:L2"/>
    <mergeCell ref="A16:B16"/>
    <mergeCell ref="H21:L21"/>
    <mergeCell ref="A27:L29"/>
    <mergeCell ref="A18:B18"/>
    <mergeCell ref="H17:L17"/>
    <mergeCell ref="A21:B21"/>
    <mergeCell ref="A13:F13"/>
    <mergeCell ref="H16:L16"/>
    <mergeCell ref="A14:B14"/>
    <mergeCell ref="A17:B17"/>
    <mergeCell ref="H13:L13"/>
    <mergeCell ref="H19:L19"/>
    <mergeCell ref="A23:B23"/>
    <mergeCell ref="A20:B20"/>
    <mergeCell ref="H15:L15"/>
    <mergeCell ref="A19:B19"/>
    <mergeCell ref="A1:L1"/>
    <mergeCell ref="H24:L24"/>
    <mergeCell ref="H18:L18"/>
    <mergeCell ref="H14:L14"/>
    <mergeCell ref="H23:L23"/>
  </mergeCells>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xl/worksheets/sheet12.xml><?xml version="1.0" encoding="utf-8"?>
<worksheet xmlns="http://schemas.openxmlformats.org/spreadsheetml/2006/main">
  <sheetPr>
    <tabColor rgb="0000A6A6"/>
    <outlinePr summaryBelow="1" summaryRight="1"/>
    <pageSetUpPr fitToPage="1"/>
  </sheetPr>
  <dimension ref="A1:R50"/>
  <sheetViews>
    <sheetView showGridLines="0" zoomScale="75" workbookViewId="0">
      <pane xSplit="1" ySplit="4" topLeftCell="B5" activePane="bottomRight" state="frozen"/>
      <selection pane="topRight"/>
      <selection pane="bottomLeft"/>
      <selection pane="bottomRight" activeCell="A1" sqref="A1"/>
    </sheetView>
  </sheetViews>
  <sheetFormatPr baseColWidth="8" defaultRowHeight="15"/>
  <cols>
    <col width="3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1" customHeight="1">
      <c r="A1" s="20" t="inlineStr">
        <is>
          <t>Scenario engine &amp; valuation sensitivities</t>
        </is>
      </c>
    </row>
    <row r="2" ht="23" customHeight="1">
      <c r="A2" s="21" t="inlineStr">
        <is>
          <t>Bear/Base/Bull calculations run independently from the active scenario switch. Outputs are illustrative ranges, not target prices.</t>
        </is>
      </c>
    </row>
    <row r="4" ht="30" customHeight="1">
      <c r="A4" s="14" t="inlineStr">
        <is>
          <t>Metric</t>
        </is>
      </c>
      <c r="B4" s="14" t="inlineStr">
        <is>
          <t>Bear</t>
        </is>
      </c>
      <c r="C4" s="14" t="inlineStr">
        <is>
          <t>Base</t>
        </is>
      </c>
      <c r="D4" s="14" t="inlineStr">
        <is>
          <t>Bull</t>
        </is>
      </c>
      <c r="E4" s="14" t="inlineStr">
        <is>
          <t>Status / interpretation</t>
        </is>
      </c>
    </row>
    <row r="5">
      <c r="A5" s="6" t="inlineStr">
        <is>
          <t>WACC</t>
        </is>
      </c>
      <c r="B5" s="91">
        <f>Assumptions!$E$18</f>
        <v/>
      </c>
      <c r="C5" s="91">
        <f>Assumptions!$F$18</f>
        <v/>
      </c>
      <c r="D5" s="91">
        <f>Assumptions!$G$18</f>
        <v/>
      </c>
      <c r="E5" s="140" t="inlineStr">
        <is>
          <t>Illustrative range — no market recommendation</t>
        </is>
      </c>
    </row>
    <row r="6">
      <c r="A6" s="6" t="inlineStr">
        <is>
          <t>Terminal growth</t>
        </is>
      </c>
      <c r="B6" s="92">
        <f>Assumptions!$E$19</f>
        <v/>
      </c>
      <c r="C6" s="92">
        <f>Assumptions!$F$19</f>
        <v/>
      </c>
      <c r="D6" s="92">
        <f>Assumptions!$G$19</f>
        <v/>
      </c>
      <c r="E6" s="140" t="inlineStr">
        <is>
          <t>Illustrative range — no market recommendation</t>
        </is>
      </c>
    </row>
    <row r="7">
      <c r="A7" s="6" t="inlineStr">
        <is>
          <t>Revenue growth adjustment</t>
        </is>
      </c>
      <c r="B7" s="91">
        <f>Assumptions!$E$11</f>
        <v/>
      </c>
      <c r="C7" s="91">
        <f>Assumptions!$F$11</f>
        <v/>
      </c>
      <c r="D7" s="91">
        <f>Assumptions!$G$11</f>
        <v/>
      </c>
      <c r="E7" s="140" t="inlineStr">
        <is>
          <t>Illustrative range — no market recommendation</t>
        </is>
      </c>
    </row>
    <row r="8">
      <c r="A8" s="6" t="inlineStr">
        <is>
          <t>2030E model revenue</t>
        </is>
      </c>
      <c r="B8" s="141">
        <f>F22</f>
        <v/>
      </c>
      <c r="C8" s="141">
        <f>L22</f>
        <v/>
      </c>
      <c r="D8" s="141">
        <f>R22</f>
        <v/>
      </c>
      <c r="E8" s="140" t="inlineStr">
        <is>
          <t>Illustrative range — no market recommendation</t>
        </is>
      </c>
    </row>
    <row r="9">
      <c r="A9" s="6" t="inlineStr">
        <is>
          <t>2030E EBIT margin</t>
        </is>
      </c>
      <c r="B9" s="59">
        <f>F23</f>
        <v/>
      </c>
      <c r="C9" s="59">
        <f>L23</f>
        <v/>
      </c>
      <c r="D9" s="59">
        <f>R23</f>
        <v/>
      </c>
      <c r="E9" s="140" t="inlineStr">
        <is>
          <t>Illustrative range — no market recommendation</t>
        </is>
      </c>
    </row>
    <row r="10">
      <c r="A10" s="6" t="inlineStr">
        <is>
          <t>2030E FCFF</t>
        </is>
      </c>
      <c r="B10" s="141">
        <f>F29</f>
        <v/>
      </c>
      <c r="C10" s="141">
        <f>L29</f>
        <v/>
      </c>
      <c r="D10" s="141">
        <f>R29</f>
        <v/>
      </c>
      <c r="E10" s="140" t="inlineStr">
        <is>
          <t>Illustrative range — no market recommendation</t>
        </is>
      </c>
    </row>
    <row r="11">
      <c r="A11" s="6" t="inlineStr">
        <is>
          <t>DMX enterprise value</t>
        </is>
      </c>
      <c r="B11" s="142">
        <f>F37</f>
        <v/>
      </c>
      <c r="C11" s="142">
        <f>L37</f>
        <v/>
      </c>
      <c r="D11" s="142">
        <f>R37</f>
        <v/>
      </c>
      <c r="E11" s="140" t="inlineStr">
        <is>
          <t>Illustrative range — no market recommendation</t>
        </is>
      </c>
    </row>
    <row r="12">
      <c r="A12" s="6" t="inlineStr">
        <is>
          <t>DMX equity value</t>
        </is>
      </c>
      <c r="B12" s="141">
        <f>F38</f>
        <v/>
      </c>
      <c r="C12" s="141">
        <f>L38</f>
        <v/>
      </c>
      <c r="D12" s="141">
        <f>R38</f>
        <v/>
      </c>
      <c r="E12" s="140" t="inlineStr">
        <is>
          <t>Illustrative range — no market recommendation</t>
        </is>
      </c>
    </row>
    <row r="13">
      <c r="A13" s="6" t="inlineStr">
        <is>
          <t>DMX DCF value / share</t>
        </is>
      </c>
      <c r="B13" s="143">
        <f>F39</f>
        <v/>
      </c>
      <c r="C13" s="143">
        <f>L39</f>
        <v/>
      </c>
      <c r="D13" s="143">
        <f>R39</f>
        <v/>
      </c>
      <c r="E13" s="140" t="inlineStr">
        <is>
          <t>Illustrative range — no market recommendation</t>
        </is>
      </c>
    </row>
    <row r="14">
      <c r="A14" s="6" t="inlineStr">
        <is>
          <t>MWG illustrative SOTP / share</t>
        </is>
      </c>
      <c r="B14" s="144">
        <f>((F38*Assumptions!$E$23)+((Assumptions!$E$24*Assumptions!$E$25-Assumptions!$E$26)*Assumptions!$E$27)+((Assumptions!$E$28*Assumptions!$E$29-Assumptions!$E$30)*Assumptions!$E$31)+((Assumptions!$E$32*Assumptions!$E$33-Assumptions!$E$34)*Assumptions!$E$35)+Assumptions!$E$36+Assumptions!$E$37-Assumptions!$E$38-Assumptions!$E$39)*(1-Assumptions!$E$40)*1000/Assumptions!$E$41</f>
        <v/>
      </c>
      <c r="C14" s="144">
        <f>((L38*Assumptions!$F$23)+((Assumptions!$F$24*Assumptions!$F$25-Assumptions!$F$26)*Assumptions!$F$27)+((Assumptions!$F$28*Assumptions!$F$29-Assumptions!$F$30)*Assumptions!$F$31)+((Assumptions!$F$32*Assumptions!$F$33-Assumptions!$F$34)*Assumptions!$F$35)+Assumptions!$F$36+Assumptions!$F$37-Assumptions!$F$38-Assumptions!$F$39)*(1-Assumptions!$F$40)*1000/Assumptions!$F$41</f>
        <v/>
      </c>
      <c r="D14" s="144">
        <f>((R38*Assumptions!$G$23)+((Assumptions!$G$24*Assumptions!$G$25-Assumptions!$G$26)*Assumptions!$G$27)+((Assumptions!$G$28*Assumptions!$G$29-Assumptions!$G$30)*Assumptions!$G$31)+((Assumptions!$G$32*Assumptions!$G$33-Assumptions!$G$34)*Assumptions!$G$35)+Assumptions!$G$36+Assumptions!$G$37-Assumptions!$G$38-Assumptions!$G$39)*(1-Assumptions!$G$40)*1000/Assumptions!$G$41</f>
        <v/>
      </c>
      <c r="E14" s="140" t="inlineStr">
        <is>
          <t>Illustrative range — no market recommendation</t>
        </is>
      </c>
    </row>
    <row r="15">
      <c r="A15" s="6" t="inlineStr">
        <is>
          <t>Holdco discount</t>
        </is>
      </c>
      <c r="B15" s="91">
        <f>Assumptions!$E$40</f>
        <v/>
      </c>
      <c r="C15" s="91">
        <f>Assumptions!$F$40</f>
        <v/>
      </c>
      <c r="D15" s="91">
        <f>Assumptions!$G$40</f>
        <v/>
      </c>
      <c r="E15" s="140" t="inlineStr">
        <is>
          <t>Illustrative range — no market recommendation</t>
        </is>
      </c>
    </row>
    <row r="20">
      <c r="B20" s="145" t="inlineStr">
        <is>
          <t>BEAR — independent FCFF DCF</t>
        </is>
      </c>
      <c r="H20" s="145" t="inlineStr">
        <is>
          <t>BASE — independent FCFF DCF</t>
        </is>
      </c>
      <c r="N20" s="145" t="inlineStr">
        <is>
          <t>BULL — independent FCFF DCF</t>
        </is>
      </c>
    </row>
    <row r="21">
      <c r="B21" t="inlineStr">
        <is>
          <t>2026E</t>
        </is>
      </c>
      <c r="C21" t="inlineStr">
        <is>
          <t>2027E</t>
        </is>
      </c>
      <c r="D21" t="inlineStr">
        <is>
          <t>2028E</t>
        </is>
      </c>
      <c r="E21" t="inlineStr">
        <is>
          <t>2029E</t>
        </is>
      </c>
      <c r="F21" t="inlineStr">
        <is>
          <t>2030E</t>
        </is>
      </c>
      <c r="H21" t="inlineStr">
        <is>
          <t>2026E</t>
        </is>
      </c>
      <c r="I21" t="inlineStr">
        <is>
          <t>2027E</t>
        </is>
      </c>
      <c r="J21" t="inlineStr">
        <is>
          <t>2028E</t>
        </is>
      </c>
      <c r="K21" t="inlineStr">
        <is>
          <t>2029E</t>
        </is>
      </c>
      <c r="L21" t="inlineStr">
        <is>
          <t>2030E</t>
        </is>
      </c>
      <c r="N21" t="inlineStr">
        <is>
          <t>2026E</t>
        </is>
      </c>
      <c r="O21" t="inlineStr">
        <is>
          <t>2027E</t>
        </is>
      </c>
      <c r="P21" t="inlineStr">
        <is>
          <t>2028E</t>
        </is>
      </c>
      <c r="Q21" t="inlineStr">
        <is>
          <t>2029E</t>
        </is>
      </c>
      <c r="R21" t="inlineStr">
        <is>
          <t>2030E</t>
        </is>
      </c>
    </row>
    <row r="22">
      <c r="A22" s="146" t="inlineStr">
        <is>
          <t>Revenue</t>
        </is>
      </c>
      <c r="B22" s="147">
        <f>Mgmt_Forecast!C6*(1+Mgmt_Forecast!D7+Assumptions!$E$11)</f>
        <v/>
      </c>
      <c r="C22" s="147">
        <f>B22*(1+Mgmt_Forecast!E7+Assumptions!$E$11)</f>
        <v/>
      </c>
      <c r="D22" s="147">
        <f>C22*(1+Mgmt_Forecast!F7+Assumptions!$E$11)</f>
        <v/>
      </c>
      <c r="E22" s="147">
        <f>D22*(1+Mgmt_Forecast!G7+Assumptions!$E$11)</f>
        <v/>
      </c>
      <c r="F22" s="147">
        <f>E22*(1+Mgmt_Forecast!H7+Assumptions!$E$11)</f>
        <v/>
      </c>
      <c r="H22" s="147">
        <f>Mgmt_Forecast!C6*(1+Mgmt_Forecast!D7+Assumptions!$F$11)</f>
        <v/>
      </c>
      <c r="I22" s="147">
        <f>H22*(1+Mgmt_Forecast!E7+Assumptions!$F$11)</f>
        <v/>
      </c>
      <c r="J22" s="147">
        <f>I22*(1+Mgmt_Forecast!F7+Assumptions!$F$11)</f>
        <v/>
      </c>
      <c r="K22" s="147">
        <f>J22*(1+Mgmt_Forecast!G7+Assumptions!$F$11)</f>
        <v/>
      </c>
      <c r="L22" s="147">
        <f>K22*(1+Mgmt_Forecast!H7+Assumptions!$F$11)</f>
        <v/>
      </c>
      <c r="N22" s="147">
        <f>Mgmt_Forecast!C6*(1+Mgmt_Forecast!D7+Assumptions!$G$11)</f>
        <v/>
      </c>
      <c r="O22" s="147">
        <f>N22*(1+Mgmt_Forecast!E7+Assumptions!$G$11)</f>
        <v/>
      </c>
      <c r="P22" s="147">
        <f>O22*(1+Mgmt_Forecast!F7+Assumptions!$G$11)</f>
        <v/>
      </c>
      <c r="Q22" s="147">
        <f>P22*(1+Mgmt_Forecast!G7+Assumptions!$G$11)</f>
        <v/>
      </c>
      <c r="R22" s="147">
        <f>Q22*(1+Mgmt_Forecast!H7+Assumptions!$G$11)</f>
        <v/>
      </c>
    </row>
    <row r="23">
      <c r="A23" s="146" t="inlineStr">
        <is>
          <t>EBIT margin</t>
        </is>
      </c>
      <c r="B23" s="148">
        <f>Assumptions!$E$12</f>
        <v/>
      </c>
      <c r="C23" s="148">
        <f>B23+Assumptions!$E$13</f>
        <v/>
      </c>
      <c r="D23" s="148">
        <f>C23+Assumptions!$E$13</f>
        <v/>
      </c>
      <c r="E23" s="148">
        <f>D23+Assumptions!$E$13</f>
        <v/>
      </c>
      <c r="F23" s="148">
        <f>E23+Assumptions!$E$13</f>
        <v/>
      </c>
      <c r="H23" s="148">
        <f>Assumptions!$F$12</f>
        <v/>
      </c>
      <c r="I23" s="148">
        <f>H23+Assumptions!$F$13</f>
        <v/>
      </c>
      <c r="J23" s="148">
        <f>I23+Assumptions!$F$13</f>
        <v/>
      </c>
      <c r="K23" s="148">
        <f>J23+Assumptions!$F$13</f>
        <v/>
      </c>
      <c r="L23" s="148">
        <f>K23+Assumptions!$F$13</f>
        <v/>
      </c>
      <c r="N23" s="148">
        <f>Assumptions!$G$12</f>
        <v/>
      </c>
      <c r="O23" s="148">
        <f>N23+Assumptions!$G$13</f>
        <v/>
      </c>
      <c r="P23" s="148">
        <f>O23+Assumptions!$G$13</f>
        <v/>
      </c>
      <c r="Q23" s="148">
        <f>P23+Assumptions!$G$13</f>
        <v/>
      </c>
      <c r="R23" s="148">
        <f>Q23+Assumptions!$G$13</f>
        <v/>
      </c>
    </row>
    <row r="24">
      <c r="A24" s="146" t="inlineStr">
        <is>
          <t>EBIT</t>
        </is>
      </c>
      <c r="B24" s="149">
        <f>B22*B23</f>
        <v/>
      </c>
      <c r="C24" s="149">
        <f>C22*C23</f>
        <v/>
      </c>
      <c r="D24" s="149">
        <f>D22*D23</f>
        <v/>
      </c>
      <c r="E24" s="149">
        <f>E22*E23</f>
        <v/>
      </c>
      <c r="F24" s="149">
        <f>F22*F23</f>
        <v/>
      </c>
      <c r="H24" s="149">
        <f>H22*H23</f>
        <v/>
      </c>
      <c r="I24" s="149">
        <f>I22*I23</f>
        <v/>
      </c>
      <c r="J24" s="149">
        <f>J22*J23</f>
        <v/>
      </c>
      <c r="K24" s="149">
        <f>K22*K23</f>
        <v/>
      </c>
      <c r="L24" s="149">
        <f>L22*L23</f>
        <v/>
      </c>
      <c r="N24" s="149">
        <f>N22*N23</f>
        <v/>
      </c>
      <c r="O24" s="149">
        <f>O22*O23</f>
        <v/>
      </c>
      <c r="P24" s="149">
        <f>P22*P23</f>
        <v/>
      </c>
      <c r="Q24" s="149">
        <f>Q22*Q23</f>
        <v/>
      </c>
      <c r="R24" s="149">
        <f>R22*R23</f>
        <v/>
      </c>
    </row>
    <row r="25">
      <c r="A25" s="146" t="inlineStr">
        <is>
          <t>NOPAT</t>
        </is>
      </c>
      <c r="B25" s="150">
        <f>B24*(1-Assumptions!$E$14)</f>
        <v/>
      </c>
      <c r="C25" s="150">
        <f>C24*(1-Assumptions!$E$14)</f>
        <v/>
      </c>
      <c r="D25" s="150">
        <f>D24*(1-Assumptions!$E$14)</f>
        <v/>
      </c>
      <c r="E25" s="150">
        <f>E24*(1-Assumptions!$E$14)</f>
        <v/>
      </c>
      <c r="F25" s="150">
        <f>F24*(1-Assumptions!$E$14)</f>
        <v/>
      </c>
      <c r="H25" s="150">
        <f>H24*(1-Assumptions!$F$14)</f>
        <v/>
      </c>
      <c r="I25" s="150">
        <f>I24*(1-Assumptions!$F$14)</f>
        <v/>
      </c>
      <c r="J25" s="150">
        <f>J24*(1-Assumptions!$F$14)</f>
        <v/>
      </c>
      <c r="K25" s="150">
        <f>K24*(1-Assumptions!$F$14)</f>
        <v/>
      </c>
      <c r="L25" s="150">
        <f>L24*(1-Assumptions!$F$14)</f>
        <v/>
      </c>
      <c r="N25" s="150">
        <f>N24*(1-Assumptions!$G$14)</f>
        <v/>
      </c>
      <c r="O25" s="150">
        <f>O24*(1-Assumptions!$G$14)</f>
        <v/>
      </c>
      <c r="P25" s="150">
        <f>P24*(1-Assumptions!$G$14)</f>
        <v/>
      </c>
      <c r="Q25" s="150">
        <f>Q24*(1-Assumptions!$G$14)</f>
        <v/>
      </c>
      <c r="R25" s="150">
        <f>R24*(1-Assumptions!$G$14)</f>
        <v/>
      </c>
    </row>
    <row r="26">
      <c r="A26" s="146" t="inlineStr">
        <is>
          <t>D&amp;A</t>
        </is>
      </c>
      <c r="B26" s="147">
        <f>B22*Assumptions!$E$15</f>
        <v/>
      </c>
      <c r="C26" s="147">
        <f>C22*Assumptions!$E$15</f>
        <v/>
      </c>
      <c r="D26" s="147">
        <f>D22*Assumptions!$E$15</f>
        <v/>
      </c>
      <c r="E26" s="147">
        <f>E22*Assumptions!$E$15</f>
        <v/>
      </c>
      <c r="F26" s="147">
        <f>F22*Assumptions!$E$15</f>
        <v/>
      </c>
      <c r="H26" s="147">
        <f>H22*Assumptions!$F$15</f>
        <v/>
      </c>
      <c r="I26" s="147">
        <f>I22*Assumptions!$F$15</f>
        <v/>
      </c>
      <c r="J26" s="147">
        <f>J22*Assumptions!$F$15</f>
        <v/>
      </c>
      <c r="K26" s="147">
        <f>K22*Assumptions!$F$15</f>
        <v/>
      </c>
      <c r="L26" s="147">
        <f>L22*Assumptions!$F$15</f>
        <v/>
      </c>
      <c r="N26" s="147">
        <f>N22*Assumptions!$G$15</f>
        <v/>
      </c>
      <c r="O26" s="147">
        <f>O22*Assumptions!$G$15</f>
        <v/>
      </c>
      <c r="P26" s="147">
        <f>P22*Assumptions!$G$15</f>
        <v/>
      </c>
      <c r="Q26" s="147">
        <f>Q22*Assumptions!$G$15</f>
        <v/>
      </c>
      <c r="R26" s="147">
        <f>R22*Assumptions!$G$15</f>
        <v/>
      </c>
    </row>
    <row r="27">
      <c r="A27" s="146" t="inlineStr">
        <is>
          <t>Capex</t>
        </is>
      </c>
      <c r="B27" s="150">
        <f>B22*Assumptions!$E$16</f>
        <v/>
      </c>
      <c r="C27" s="150">
        <f>C22*Assumptions!$E$16</f>
        <v/>
      </c>
      <c r="D27" s="150">
        <f>D22*Assumptions!$E$16</f>
        <v/>
      </c>
      <c r="E27" s="150">
        <f>E22*Assumptions!$E$16</f>
        <v/>
      </c>
      <c r="F27" s="150">
        <f>F22*Assumptions!$E$16</f>
        <v/>
      </c>
      <c r="H27" s="150">
        <f>H22*Assumptions!$F$16</f>
        <v/>
      </c>
      <c r="I27" s="150">
        <f>I22*Assumptions!$F$16</f>
        <v/>
      </c>
      <c r="J27" s="150">
        <f>J22*Assumptions!$F$16</f>
        <v/>
      </c>
      <c r="K27" s="150">
        <f>K22*Assumptions!$F$16</f>
        <v/>
      </c>
      <c r="L27" s="150">
        <f>L22*Assumptions!$F$16</f>
        <v/>
      </c>
      <c r="N27" s="150">
        <f>N22*Assumptions!$G$16</f>
        <v/>
      </c>
      <c r="O27" s="150">
        <f>O22*Assumptions!$G$16</f>
        <v/>
      </c>
      <c r="P27" s="150">
        <f>P22*Assumptions!$G$16</f>
        <v/>
      </c>
      <c r="Q27" s="150">
        <f>Q22*Assumptions!$G$16</f>
        <v/>
      </c>
      <c r="R27" s="150">
        <f>R22*Assumptions!$G$16</f>
        <v/>
      </c>
    </row>
    <row r="28">
      <c r="A28" s="146" t="inlineStr">
        <is>
          <t>ΔNWC</t>
        </is>
      </c>
      <c r="B28" s="147">
        <f>MAX(0,B22-Mgmt_Forecast!C6)*Assumptions!$E$17</f>
        <v/>
      </c>
      <c r="C28" s="147">
        <f>MAX(0,C22-B22)*Assumptions!$E$17</f>
        <v/>
      </c>
      <c r="D28" s="147">
        <f>MAX(0,D22-C22)*Assumptions!$E$17</f>
        <v/>
      </c>
      <c r="E28" s="147">
        <f>MAX(0,E22-D22)*Assumptions!$E$17</f>
        <v/>
      </c>
      <c r="F28" s="147">
        <f>MAX(0,F22-E22)*Assumptions!$E$17</f>
        <v/>
      </c>
      <c r="H28" s="147">
        <f>MAX(0,H22-Mgmt_Forecast!C6)*Assumptions!$F$17</f>
        <v/>
      </c>
      <c r="I28" s="147">
        <f>MAX(0,I22-H22)*Assumptions!$F$17</f>
        <v/>
      </c>
      <c r="J28" s="147">
        <f>MAX(0,J22-I22)*Assumptions!$F$17</f>
        <v/>
      </c>
      <c r="K28" s="147">
        <f>MAX(0,K22-J22)*Assumptions!$F$17</f>
        <v/>
      </c>
      <c r="L28" s="147">
        <f>MAX(0,L22-K22)*Assumptions!$F$17</f>
        <v/>
      </c>
      <c r="N28" s="147">
        <f>MAX(0,N22-Mgmt_Forecast!C6)*Assumptions!$G$17</f>
        <v/>
      </c>
      <c r="O28" s="147">
        <f>MAX(0,O22-N22)*Assumptions!$G$17</f>
        <v/>
      </c>
      <c r="P28" s="147">
        <f>MAX(0,P22-O22)*Assumptions!$G$17</f>
        <v/>
      </c>
      <c r="Q28" s="147">
        <f>MAX(0,Q22-P22)*Assumptions!$G$17</f>
        <v/>
      </c>
      <c r="R28" s="147">
        <f>MAX(0,R22-Q22)*Assumptions!$G$17</f>
        <v/>
      </c>
    </row>
    <row r="29">
      <c r="A29" s="6" t="inlineStr">
        <is>
          <t>FCFF</t>
        </is>
      </c>
      <c r="B29" s="151">
        <f>B25+B26-B27-B28</f>
        <v/>
      </c>
      <c r="C29" s="151">
        <f>C25+C26-C27-C28</f>
        <v/>
      </c>
      <c r="D29" s="151">
        <f>D25+D26-D27-D28</f>
        <v/>
      </c>
      <c r="E29" s="151">
        <f>E25+E26-E27-E28</f>
        <v/>
      </c>
      <c r="F29" s="151">
        <f>F25+F26-F27-F28</f>
        <v/>
      </c>
      <c r="H29" s="151">
        <f>H25+H26-H27-H28</f>
        <v/>
      </c>
      <c r="I29" s="151">
        <f>I25+I26-I27-I28</f>
        <v/>
      </c>
      <c r="J29" s="151">
        <f>J25+J26-J27-J28</f>
        <v/>
      </c>
      <c r="K29" s="151">
        <f>K25+K26-K27-K28</f>
        <v/>
      </c>
      <c r="L29" s="151">
        <f>L25+L26-L27-L28</f>
        <v/>
      </c>
      <c r="N29" s="151">
        <f>N25+N26-N27-N28</f>
        <v/>
      </c>
      <c r="O29" s="151">
        <f>O25+O26-O27-O28</f>
        <v/>
      </c>
      <c r="P29" s="151">
        <f>P25+P26-P27-P28</f>
        <v/>
      </c>
      <c r="Q29" s="151">
        <f>Q25+Q26-Q27-Q28</f>
        <v/>
      </c>
      <c r="R29" s="151">
        <f>R25+R26-R27-R28</f>
        <v/>
      </c>
    </row>
    <row r="30">
      <c r="A30" s="146" t="inlineStr">
        <is>
          <t>Discount period</t>
        </is>
      </c>
      <c r="B30" s="152" t="n">
        <v>0.5</v>
      </c>
      <c r="C30" s="152" t="n">
        <v>1.5</v>
      </c>
      <c r="D30" s="152" t="n">
        <v>2.5</v>
      </c>
      <c r="E30" s="152" t="n">
        <v>3.5</v>
      </c>
      <c r="F30" s="152" t="n">
        <v>4.5</v>
      </c>
      <c r="H30" s="152" t="n">
        <v>0.5</v>
      </c>
      <c r="I30" s="152" t="n">
        <v>1.5</v>
      </c>
      <c r="J30" s="152" t="n">
        <v>2.5</v>
      </c>
      <c r="K30" s="152" t="n">
        <v>3.5</v>
      </c>
      <c r="L30" s="152" t="n">
        <v>4.5</v>
      </c>
      <c r="N30" s="152" t="n">
        <v>0.5</v>
      </c>
      <c r="O30" s="152" t="n">
        <v>1.5</v>
      </c>
      <c r="P30" s="152" t="n">
        <v>2.5</v>
      </c>
      <c r="Q30" s="152" t="n">
        <v>3.5</v>
      </c>
      <c r="R30" s="152" t="n">
        <v>4.5</v>
      </c>
    </row>
    <row r="31">
      <c r="A31" s="146" t="inlineStr">
        <is>
          <t>Discount factor</t>
        </is>
      </c>
      <c r="B31" s="148">
        <f>1/(1+Assumptions!$E$18)^B30</f>
        <v/>
      </c>
      <c r="C31" s="148">
        <f>1/(1+Assumptions!$E$18)^C30</f>
        <v/>
      </c>
      <c r="D31" s="148">
        <f>1/(1+Assumptions!$E$18)^D30</f>
        <v/>
      </c>
      <c r="E31" s="148">
        <f>1/(1+Assumptions!$E$18)^E30</f>
        <v/>
      </c>
      <c r="F31" s="148">
        <f>1/(1+Assumptions!$E$18)^F30</f>
        <v/>
      </c>
      <c r="H31" s="148">
        <f>1/(1+Assumptions!$F$18)^H30</f>
        <v/>
      </c>
      <c r="I31" s="148">
        <f>1/(1+Assumptions!$F$18)^I30</f>
        <v/>
      </c>
      <c r="J31" s="148">
        <f>1/(1+Assumptions!$F$18)^J30</f>
        <v/>
      </c>
      <c r="K31" s="148">
        <f>1/(1+Assumptions!$F$18)^K30</f>
        <v/>
      </c>
      <c r="L31" s="148">
        <f>1/(1+Assumptions!$F$18)^L30</f>
        <v/>
      </c>
      <c r="N31" s="148">
        <f>1/(1+Assumptions!$G$18)^N30</f>
        <v/>
      </c>
      <c r="O31" s="148">
        <f>1/(1+Assumptions!$G$18)^O30</f>
        <v/>
      </c>
      <c r="P31" s="148">
        <f>1/(1+Assumptions!$G$18)^P30</f>
        <v/>
      </c>
      <c r="Q31" s="148">
        <f>1/(1+Assumptions!$G$18)^Q30</f>
        <v/>
      </c>
      <c r="R31" s="148">
        <f>1/(1+Assumptions!$G$18)^R30</f>
        <v/>
      </c>
    </row>
    <row r="32">
      <c r="A32" s="146" t="inlineStr">
        <is>
          <t>PV FCFF</t>
        </is>
      </c>
      <c r="B32" s="149">
        <f>B29*B31</f>
        <v/>
      </c>
      <c r="C32" s="149">
        <f>C29*C31</f>
        <v/>
      </c>
      <c r="D32" s="149">
        <f>D29*D31</f>
        <v/>
      </c>
      <c r="E32" s="149">
        <f>E29*E31</f>
        <v/>
      </c>
      <c r="F32" s="149">
        <f>F29*F31</f>
        <v/>
      </c>
      <c r="H32" s="149">
        <f>H29*H31</f>
        <v/>
      </c>
      <c r="I32" s="149">
        <f>I29*I31</f>
        <v/>
      </c>
      <c r="J32" s="149">
        <f>J29*J31</f>
        <v/>
      </c>
      <c r="K32" s="149">
        <f>K29*K31</f>
        <v/>
      </c>
      <c r="L32" s="149">
        <f>L29*L31</f>
        <v/>
      </c>
      <c r="N32" s="149">
        <f>N29*N31</f>
        <v/>
      </c>
      <c r="O32" s="149">
        <f>O29*O31</f>
        <v/>
      </c>
      <c r="P32" s="149">
        <f>P29*P31</f>
        <v/>
      </c>
      <c r="Q32" s="149">
        <f>Q29*Q31</f>
        <v/>
      </c>
      <c r="R32" s="149">
        <f>R29*R31</f>
        <v/>
      </c>
    </row>
    <row r="34">
      <c r="A34" s="146" t="inlineStr">
        <is>
          <t>Terminal value</t>
        </is>
      </c>
      <c r="B34" s="153" t="n"/>
      <c r="C34" s="153" t="n"/>
      <c r="D34" s="153" t="n"/>
      <c r="E34" s="153" t="n"/>
      <c r="F34" s="147">
        <f>F29*(1+Assumptions!$E$19)/(Assumptions!$E$18-Assumptions!$E$19)</f>
        <v/>
      </c>
      <c r="H34" s="153" t="n"/>
      <c r="I34" s="153" t="n"/>
      <c r="J34" s="153" t="n"/>
      <c r="K34" s="153" t="n"/>
      <c r="L34" s="147">
        <f>L29*(1+Assumptions!$F$19)/(Assumptions!$F$18-Assumptions!$F$19)</f>
        <v/>
      </c>
      <c r="N34" s="153" t="n"/>
      <c r="O34" s="153" t="n"/>
      <c r="P34" s="153" t="n"/>
      <c r="Q34" s="153" t="n"/>
      <c r="R34" s="147">
        <f>R29*(1+Assumptions!$G$19)/(Assumptions!$G$18-Assumptions!$G$19)</f>
        <v/>
      </c>
    </row>
    <row r="35">
      <c r="A35" s="146" t="inlineStr">
        <is>
          <t>PV terminal</t>
        </is>
      </c>
      <c r="B35" s="154" t="n"/>
      <c r="C35" s="154" t="n"/>
      <c r="D35" s="154" t="n"/>
      <c r="E35" s="154" t="n"/>
      <c r="F35" s="151">
        <f>F34*F31</f>
        <v/>
      </c>
      <c r="H35" s="154" t="n"/>
      <c r="I35" s="154" t="n"/>
      <c r="J35" s="154" t="n"/>
      <c r="K35" s="154" t="n"/>
      <c r="L35" s="151">
        <f>L34*L31</f>
        <v/>
      </c>
      <c r="N35" s="154" t="n"/>
      <c r="O35" s="154" t="n"/>
      <c r="P35" s="154" t="n"/>
      <c r="Q35" s="154" t="n"/>
      <c r="R35" s="151">
        <f>R34*R31</f>
        <v/>
      </c>
    </row>
    <row r="36">
      <c r="A36" s="146" t="inlineStr">
        <is>
          <t>PV explicit</t>
        </is>
      </c>
      <c r="B36" s="153" t="n"/>
      <c r="C36" s="153" t="n"/>
      <c r="D36" s="153" t="n"/>
      <c r="E36" s="153" t="n"/>
      <c r="F36" s="149">
        <f>SUM(B32:F32)</f>
        <v/>
      </c>
      <c r="H36" s="153" t="n"/>
      <c r="I36" s="153" t="n"/>
      <c r="J36" s="153" t="n"/>
      <c r="K36" s="153" t="n"/>
      <c r="L36" s="149">
        <f>SUM(H32:L32)</f>
        <v/>
      </c>
      <c r="N36" s="153" t="n"/>
      <c r="O36" s="153" t="n"/>
      <c r="P36" s="153" t="n"/>
      <c r="Q36" s="153" t="n"/>
      <c r="R36" s="149">
        <f>SUM(N32:R32)</f>
        <v/>
      </c>
    </row>
    <row r="37">
      <c r="A37" s="6" t="inlineStr">
        <is>
          <t>Enterprise value</t>
        </is>
      </c>
      <c r="B37" s="154" t="n"/>
      <c r="C37" s="154" t="n"/>
      <c r="D37" s="154" t="n"/>
      <c r="E37" s="154" t="n"/>
      <c r="F37" s="151">
        <f>F35+F36</f>
        <v/>
      </c>
      <c r="H37" s="154" t="n"/>
      <c r="I37" s="154" t="n"/>
      <c r="J37" s="154" t="n"/>
      <c r="K37" s="154" t="n"/>
      <c r="L37" s="151">
        <f>L35+L36</f>
        <v/>
      </c>
      <c r="N37" s="154" t="n"/>
      <c r="O37" s="154" t="n"/>
      <c r="P37" s="154" t="n"/>
      <c r="Q37" s="154" t="n"/>
      <c r="R37" s="151">
        <f>R35+R36</f>
        <v/>
      </c>
    </row>
    <row r="38">
      <c r="A38" s="6" t="inlineStr">
        <is>
          <t>Equity value</t>
        </is>
      </c>
      <c r="B38" s="153" t="n"/>
      <c r="C38" s="153" t="n"/>
      <c r="D38" s="153" t="n"/>
      <c r="E38" s="153" t="n"/>
      <c r="F38" s="147">
        <f>F37-Q1_Actuals!D36+Q1_Actuals!D25+Q1_Actuals!D26+Q1_Actuals!D27-Assumptions!$E$21-Assumptions!$E$22+Assumptions!$E$20</f>
        <v/>
      </c>
      <c r="H38" s="153" t="n"/>
      <c r="I38" s="153" t="n"/>
      <c r="J38" s="153" t="n"/>
      <c r="K38" s="153" t="n"/>
      <c r="L38" s="147">
        <f>L37-Q1_Actuals!D36+Q1_Actuals!D25+Q1_Actuals!D26+Q1_Actuals!D27-Assumptions!$F$21-Assumptions!$F$22+Assumptions!$F$20</f>
        <v/>
      </c>
      <c r="N38" s="153" t="n"/>
      <c r="O38" s="153" t="n"/>
      <c r="P38" s="153" t="n"/>
      <c r="Q38" s="153" t="n"/>
      <c r="R38" s="147">
        <f>R37-Q1_Actuals!D36+Q1_Actuals!D25+Q1_Actuals!D26+Q1_Actuals!D27-Assumptions!$G$21-Assumptions!$G$22+Assumptions!$G$20</f>
        <v/>
      </c>
    </row>
    <row r="39">
      <c r="A39" s="6" t="inlineStr">
        <is>
          <t>Value / share</t>
        </is>
      </c>
      <c r="B39" s="155" t="n"/>
      <c r="C39" s="155" t="n"/>
      <c r="D39" s="155" t="n"/>
      <c r="E39" s="155" t="n"/>
      <c r="F39" s="156">
        <f>F38*1000/IPO_Bridge!D11</f>
        <v/>
      </c>
      <c r="H39" s="155" t="n"/>
      <c r="I39" s="155" t="n"/>
      <c r="J39" s="155" t="n"/>
      <c r="K39" s="155" t="n"/>
      <c r="L39" s="156">
        <f>L38*1000/IPO_Bridge!D11</f>
        <v/>
      </c>
      <c r="N39" s="155" t="n"/>
      <c r="O39" s="155" t="n"/>
      <c r="P39" s="155" t="n"/>
      <c r="Q39" s="155" t="n"/>
      <c r="R39" s="156">
        <f>R38*1000/IPO_Bridge!D11</f>
        <v/>
      </c>
    </row>
    <row r="43" ht="21" customHeight="1">
      <c r="A43" s="5" t="inlineStr">
        <is>
          <t>DMX DCF VALUE / SHARE — BASE OPERATIONS, WACC × TERMINAL G</t>
        </is>
      </c>
      <c r="J43" s="5" t="inlineStr">
        <is>
          <t>MWG SOTP / SHARE — BASE INPUTS, DMX VALUE MULTIPLIER × HOLDCO DISCOUNT</t>
        </is>
      </c>
    </row>
    <row r="45">
      <c r="B45" t="inlineStr">
        <is>
          <t>WACC ↓ / g →</t>
        </is>
      </c>
      <c r="C45" s="157" t="n">
        <v>0.02</v>
      </c>
      <c r="D45" s="157" t="n">
        <v>0.03</v>
      </c>
      <c r="E45" s="157" t="n">
        <v>0.04</v>
      </c>
      <c r="F45" s="157" t="n">
        <v>0.05</v>
      </c>
      <c r="G45" s="157" t="n">
        <v>0.06</v>
      </c>
      <c r="J45" t="inlineStr">
        <is>
          <t>DMX value ↓ / discount →</t>
        </is>
      </c>
      <c r="K45" s="157" t="n">
        <v>0</v>
      </c>
      <c r="L45" s="157" t="n">
        <v>0.1</v>
      </c>
      <c r="M45" s="157" t="n">
        <v>0.2</v>
      </c>
      <c r="N45" s="157" t="n">
        <v>0.3</v>
      </c>
    </row>
    <row r="46">
      <c r="B46" s="157" t="n">
        <v>0.1</v>
      </c>
      <c r="C46" s="158">
        <f>(SUMPRODUCT($H$29:$L$29,1/(1+$B46)^{0.5,1.5,2.5,3.5,4.5})+$L$29*(1+C$45)/($B46-C$45)/(1+$B46)^4.5-Q1_Actuals!D36+Q1_Actuals!D25+Q1_Actuals!D26+Q1_Actuals!D27-Assumptions!$F$21-Assumptions!$F$22+Assumptions!$F$20)*1000/IPO_Bridge!D11</f>
        <v/>
      </c>
      <c r="D46" s="158">
        <f>(SUMPRODUCT($H$29:$L$29,1/(1+$B46)^{0.5,1.5,2.5,3.5,4.5})+$L$29*(1+D$45)/($B46-D$45)/(1+$B46)^4.5-Q1_Actuals!D36+Q1_Actuals!D25+Q1_Actuals!D26+Q1_Actuals!D27-Assumptions!$F$21-Assumptions!$F$22+Assumptions!$F$20)*1000/IPO_Bridge!D11</f>
        <v/>
      </c>
      <c r="E46" s="158">
        <f>(SUMPRODUCT($H$29:$L$29,1/(1+$B46)^{0.5,1.5,2.5,3.5,4.5})+$L$29*(1+E$45)/($B46-E$45)/(1+$B46)^4.5-Q1_Actuals!D36+Q1_Actuals!D25+Q1_Actuals!D26+Q1_Actuals!D27-Assumptions!$F$21-Assumptions!$F$22+Assumptions!$F$20)*1000/IPO_Bridge!D11</f>
        <v/>
      </c>
      <c r="F46" s="158">
        <f>(SUMPRODUCT($H$29:$L$29,1/(1+$B46)^{0.5,1.5,2.5,3.5,4.5})+$L$29*(1+F$45)/($B46-F$45)/(1+$B46)^4.5-Q1_Actuals!D36+Q1_Actuals!D25+Q1_Actuals!D26+Q1_Actuals!D27-Assumptions!$F$21-Assumptions!$F$22+Assumptions!$F$20)*1000/IPO_Bridge!D11</f>
        <v/>
      </c>
      <c r="G46" s="158">
        <f>(SUMPRODUCT($H$29:$L$29,1/(1+$B46)^{0.5,1.5,2.5,3.5,4.5})+$L$29*(1+G$45)/($B46-G$45)/(1+$B46)^4.5-Q1_Actuals!D36+Q1_Actuals!D25+Q1_Actuals!D26+Q1_Actuals!D27-Assumptions!$F$21-Assumptions!$F$22+Assumptions!$F$20)*1000/IPO_Bridge!D11</f>
        <v/>
      </c>
      <c r="J46" s="159" t="n">
        <v>0.8</v>
      </c>
      <c r="K46" s="158">
        <f>(($L$38*Assumptions!$F$23*$J46)+((Assumptions!$F$24*Assumptions!$F$25-Assumptions!$F$26)*Assumptions!$F$27+(Assumptions!$F$28*Assumptions!$F$29-Assumptions!$F$30)*Assumptions!$F$31+(Assumptions!$F$32*Assumptions!$F$33-Assumptions!$F$34)*Assumptions!$F$35+Assumptions!$F$36+Assumptions!$F$37-Assumptions!$F$38-Assumptions!$F$39))*(1-K$45)*1000/Assumptions!$F$41</f>
        <v/>
      </c>
      <c r="L46" s="158">
        <f>(($L$38*Assumptions!$F$23*$J46)+((Assumptions!$F$24*Assumptions!$F$25-Assumptions!$F$26)*Assumptions!$F$27+(Assumptions!$F$28*Assumptions!$F$29-Assumptions!$F$30)*Assumptions!$F$31+(Assumptions!$F$32*Assumptions!$F$33-Assumptions!$F$34)*Assumptions!$F$35+Assumptions!$F$36+Assumptions!$F$37-Assumptions!$F$38-Assumptions!$F$39))*(1-L$45)*1000/Assumptions!$F$41</f>
        <v/>
      </c>
      <c r="M46" s="158">
        <f>(($L$38*Assumptions!$F$23*$J46)+((Assumptions!$F$24*Assumptions!$F$25-Assumptions!$F$26)*Assumptions!$F$27+(Assumptions!$F$28*Assumptions!$F$29-Assumptions!$F$30)*Assumptions!$F$31+(Assumptions!$F$32*Assumptions!$F$33-Assumptions!$F$34)*Assumptions!$F$35+Assumptions!$F$36+Assumptions!$F$37-Assumptions!$F$38-Assumptions!$F$39))*(1-M$45)*1000/Assumptions!$F$41</f>
        <v/>
      </c>
      <c r="N46" s="158">
        <f>(($L$38*Assumptions!$F$23*$J46)+((Assumptions!$F$24*Assumptions!$F$25-Assumptions!$F$26)*Assumptions!$F$27+(Assumptions!$F$28*Assumptions!$F$29-Assumptions!$F$30)*Assumptions!$F$31+(Assumptions!$F$32*Assumptions!$F$33-Assumptions!$F$34)*Assumptions!$F$35+Assumptions!$F$36+Assumptions!$F$37-Assumptions!$F$38-Assumptions!$F$39))*(1-N$45)*1000/Assumptions!$F$41</f>
        <v/>
      </c>
    </row>
    <row r="47">
      <c r="B47" s="157" t="n">
        <v>0.11</v>
      </c>
      <c r="C47" s="158">
        <f>(SUMPRODUCT($H$29:$L$29,1/(1+$B47)^{0.5,1.5,2.5,3.5,4.5})+$L$29*(1+C$45)/($B47-C$45)/(1+$B47)^4.5-Q1_Actuals!D36+Q1_Actuals!D25+Q1_Actuals!D26+Q1_Actuals!D27-Assumptions!$F$21-Assumptions!$F$22+Assumptions!$F$20)*1000/IPO_Bridge!D11</f>
        <v/>
      </c>
      <c r="D47" s="158">
        <f>(SUMPRODUCT($H$29:$L$29,1/(1+$B47)^{0.5,1.5,2.5,3.5,4.5})+$L$29*(1+D$45)/($B47-D$45)/(1+$B47)^4.5-Q1_Actuals!D36+Q1_Actuals!D25+Q1_Actuals!D26+Q1_Actuals!D27-Assumptions!$F$21-Assumptions!$F$22+Assumptions!$F$20)*1000/IPO_Bridge!D11</f>
        <v/>
      </c>
      <c r="E47" s="158">
        <f>(SUMPRODUCT($H$29:$L$29,1/(1+$B47)^{0.5,1.5,2.5,3.5,4.5})+$L$29*(1+E$45)/($B47-E$45)/(1+$B47)^4.5-Q1_Actuals!D36+Q1_Actuals!D25+Q1_Actuals!D26+Q1_Actuals!D27-Assumptions!$F$21-Assumptions!$F$22+Assumptions!$F$20)*1000/IPO_Bridge!D11</f>
        <v/>
      </c>
      <c r="F47" s="158">
        <f>(SUMPRODUCT($H$29:$L$29,1/(1+$B47)^{0.5,1.5,2.5,3.5,4.5})+$L$29*(1+F$45)/($B47-F$45)/(1+$B47)^4.5-Q1_Actuals!D36+Q1_Actuals!D25+Q1_Actuals!D26+Q1_Actuals!D27-Assumptions!$F$21-Assumptions!$F$22+Assumptions!$F$20)*1000/IPO_Bridge!D11</f>
        <v/>
      </c>
      <c r="G47" s="158">
        <f>(SUMPRODUCT($H$29:$L$29,1/(1+$B47)^{0.5,1.5,2.5,3.5,4.5})+$L$29*(1+G$45)/($B47-G$45)/(1+$B47)^4.5-Q1_Actuals!D36+Q1_Actuals!D25+Q1_Actuals!D26+Q1_Actuals!D27-Assumptions!$F$21-Assumptions!$F$22+Assumptions!$F$20)*1000/IPO_Bridge!D11</f>
        <v/>
      </c>
      <c r="J47" s="159" t="n">
        <v>0.9</v>
      </c>
      <c r="K47" s="158">
        <f>(($L$38*Assumptions!$F$23*$J47)+((Assumptions!$F$24*Assumptions!$F$25-Assumptions!$F$26)*Assumptions!$F$27+(Assumptions!$F$28*Assumptions!$F$29-Assumptions!$F$30)*Assumptions!$F$31+(Assumptions!$F$32*Assumptions!$F$33-Assumptions!$F$34)*Assumptions!$F$35+Assumptions!$F$36+Assumptions!$F$37-Assumptions!$F$38-Assumptions!$F$39))*(1-K$45)*1000/Assumptions!$F$41</f>
        <v/>
      </c>
      <c r="L47" s="158">
        <f>(($L$38*Assumptions!$F$23*$J47)+((Assumptions!$F$24*Assumptions!$F$25-Assumptions!$F$26)*Assumptions!$F$27+(Assumptions!$F$28*Assumptions!$F$29-Assumptions!$F$30)*Assumptions!$F$31+(Assumptions!$F$32*Assumptions!$F$33-Assumptions!$F$34)*Assumptions!$F$35+Assumptions!$F$36+Assumptions!$F$37-Assumptions!$F$38-Assumptions!$F$39))*(1-L$45)*1000/Assumptions!$F$41</f>
        <v/>
      </c>
      <c r="M47" s="158">
        <f>(($L$38*Assumptions!$F$23*$J47)+((Assumptions!$F$24*Assumptions!$F$25-Assumptions!$F$26)*Assumptions!$F$27+(Assumptions!$F$28*Assumptions!$F$29-Assumptions!$F$30)*Assumptions!$F$31+(Assumptions!$F$32*Assumptions!$F$33-Assumptions!$F$34)*Assumptions!$F$35+Assumptions!$F$36+Assumptions!$F$37-Assumptions!$F$38-Assumptions!$F$39))*(1-M$45)*1000/Assumptions!$F$41</f>
        <v/>
      </c>
      <c r="N47" s="158">
        <f>(($L$38*Assumptions!$F$23*$J47)+((Assumptions!$F$24*Assumptions!$F$25-Assumptions!$F$26)*Assumptions!$F$27+(Assumptions!$F$28*Assumptions!$F$29-Assumptions!$F$30)*Assumptions!$F$31+(Assumptions!$F$32*Assumptions!$F$33-Assumptions!$F$34)*Assumptions!$F$35+Assumptions!$F$36+Assumptions!$F$37-Assumptions!$F$38-Assumptions!$F$39))*(1-N$45)*1000/Assumptions!$F$41</f>
        <v/>
      </c>
    </row>
    <row r="48">
      <c r="B48" s="157" t="n">
        <v>0.12</v>
      </c>
      <c r="C48" s="158">
        <f>(SUMPRODUCT($H$29:$L$29,1/(1+$B48)^{0.5,1.5,2.5,3.5,4.5})+$L$29*(1+C$45)/($B48-C$45)/(1+$B48)^4.5-Q1_Actuals!D36+Q1_Actuals!D25+Q1_Actuals!D26+Q1_Actuals!D27-Assumptions!$F$21-Assumptions!$F$22+Assumptions!$F$20)*1000/IPO_Bridge!D11</f>
        <v/>
      </c>
      <c r="D48" s="158">
        <f>(SUMPRODUCT($H$29:$L$29,1/(1+$B48)^{0.5,1.5,2.5,3.5,4.5})+$L$29*(1+D$45)/($B48-D$45)/(1+$B48)^4.5-Q1_Actuals!D36+Q1_Actuals!D25+Q1_Actuals!D26+Q1_Actuals!D27-Assumptions!$F$21-Assumptions!$F$22+Assumptions!$F$20)*1000/IPO_Bridge!D11</f>
        <v/>
      </c>
      <c r="E48" s="158">
        <f>(SUMPRODUCT($H$29:$L$29,1/(1+$B48)^{0.5,1.5,2.5,3.5,4.5})+$L$29*(1+E$45)/($B48-E$45)/(1+$B48)^4.5-Q1_Actuals!D36+Q1_Actuals!D25+Q1_Actuals!D26+Q1_Actuals!D27-Assumptions!$F$21-Assumptions!$F$22+Assumptions!$F$20)*1000/IPO_Bridge!D11</f>
        <v/>
      </c>
      <c r="F48" s="158">
        <f>(SUMPRODUCT($H$29:$L$29,1/(1+$B48)^{0.5,1.5,2.5,3.5,4.5})+$L$29*(1+F$45)/($B48-F$45)/(1+$B48)^4.5-Q1_Actuals!D36+Q1_Actuals!D25+Q1_Actuals!D26+Q1_Actuals!D27-Assumptions!$F$21-Assumptions!$F$22+Assumptions!$F$20)*1000/IPO_Bridge!D11</f>
        <v/>
      </c>
      <c r="G48" s="158">
        <f>(SUMPRODUCT($H$29:$L$29,1/(1+$B48)^{0.5,1.5,2.5,3.5,4.5})+$L$29*(1+G$45)/($B48-G$45)/(1+$B48)^4.5-Q1_Actuals!D36+Q1_Actuals!D25+Q1_Actuals!D26+Q1_Actuals!D27-Assumptions!$F$21-Assumptions!$F$22+Assumptions!$F$20)*1000/IPO_Bridge!D11</f>
        <v/>
      </c>
      <c r="J48" s="159" t="n">
        <v>1</v>
      </c>
      <c r="K48" s="158">
        <f>(($L$38*Assumptions!$F$23*$J48)+((Assumptions!$F$24*Assumptions!$F$25-Assumptions!$F$26)*Assumptions!$F$27+(Assumptions!$F$28*Assumptions!$F$29-Assumptions!$F$30)*Assumptions!$F$31+(Assumptions!$F$32*Assumptions!$F$33-Assumptions!$F$34)*Assumptions!$F$35+Assumptions!$F$36+Assumptions!$F$37-Assumptions!$F$38-Assumptions!$F$39))*(1-K$45)*1000/Assumptions!$F$41</f>
        <v/>
      </c>
      <c r="L48" s="158">
        <f>(($L$38*Assumptions!$F$23*$J48)+((Assumptions!$F$24*Assumptions!$F$25-Assumptions!$F$26)*Assumptions!$F$27+(Assumptions!$F$28*Assumptions!$F$29-Assumptions!$F$30)*Assumptions!$F$31+(Assumptions!$F$32*Assumptions!$F$33-Assumptions!$F$34)*Assumptions!$F$35+Assumptions!$F$36+Assumptions!$F$37-Assumptions!$F$38-Assumptions!$F$39))*(1-L$45)*1000/Assumptions!$F$41</f>
        <v/>
      </c>
      <c r="M48" s="158">
        <f>(($L$38*Assumptions!$F$23*$J48)+((Assumptions!$F$24*Assumptions!$F$25-Assumptions!$F$26)*Assumptions!$F$27+(Assumptions!$F$28*Assumptions!$F$29-Assumptions!$F$30)*Assumptions!$F$31+(Assumptions!$F$32*Assumptions!$F$33-Assumptions!$F$34)*Assumptions!$F$35+Assumptions!$F$36+Assumptions!$F$37-Assumptions!$F$38-Assumptions!$F$39))*(1-M$45)*1000/Assumptions!$F$41</f>
        <v/>
      </c>
      <c r="N48" s="158">
        <f>(($L$38*Assumptions!$F$23*$J48)+((Assumptions!$F$24*Assumptions!$F$25-Assumptions!$F$26)*Assumptions!$F$27+(Assumptions!$F$28*Assumptions!$F$29-Assumptions!$F$30)*Assumptions!$F$31+(Assumptions!$F$32*Assumptions!$F$33-Assumptions!$F$34)*Assumptions!$F$35+Assumptions!$F$36+Assumptions!$F$37-Assumptions!$F$38-Assumptions!$F$39))*(1-N$45)*1000/Assumptions!$F$41</f>
        <v/>
      </c>
    </row>
    <row r="49">
      <c r="B49" s="157" t="n">
        <v>0.13</v>
      </c>
      <c r="C49" s="158">
        <f>(SUMPRODUCT($H$29:$L$29,1/(1+$B49)^{0.5,1.5,2.5,3.5,4.5})+$L$29*(1+C$45)/($B49-C$45)/(1+$B49)^4.5-Q1_Actuals!D36+Q1_Actuals!D25+Q1_Actuals!D26+Q1_Actuals!D27-Assumptions!$F$21-Assumptions!$F$22+Assumptions!$F$20)*1000/IPO_Bridge!D11</f>
        <v/>
      </c>
      <c r="D49" s="158">
        <f>(SUMPRODUCT($H$29:$L$29,1/(1+$B49)^{0.5,1.5,2.5,3.5,4.5})+$L$29*(1+D$45)/($B49-D$45)/(1+$B49)^4.5-Q1_Actuals!D36+Q1_Actuals!D25+Q1_Actuals!D26+Q1_Actuals!D27-Assumptions!$F$21-Assumptions!$F$22+Assumptions!$F$20)*1000/IPO_Bridge!D11</f>
        <v/>
      </c>
      <c r="E49" s="158">
        <f>(SUMPRODUCT($H$29:$L$29,1/(1+$B49)^{0.5,1.5,2.5,3.5,4.5})+$L$29*(1+E$45)/($B49-E$45)/(1+$B49)^4.5-Q1_Actuals!D36+Q1_Actuals!D25+Q1_Actuals!D26+Q1_Actuals!D27-Assumptions!$F$21-Assumptions!$F$22+Assumptions!$F$20)*1000/IPO_Bridge!D11</f>
        <v/>
      </c>
      <c r="F49" s="158">
        <f>(SUMPRODUCT($H$29:$L$29,1/(1+$B49)^{0.5,1.5,2.5,3.5,4.5})+$L$29*(1+F$45)/($B49-F$45)/(1+$B49)^4.5-Q1_Actuals!D36+Q1_Actuals!D25+Q1_Actuals!D26+Q1_Actuals!D27-Assumptions!$F$21-Assumptions!$F$22+Assumptions!$F$20)*1000/IPO_Bridge!D11</f>
        <v/>
      </c>
      <c r="G49" s="158">
        <f>(SUMPRODUCT($H$29:$L$29,1/(1+$B49)^{0.5,1.5,2.5,3.5,4.5})+$L$29*(1+G$45)/($B49-G$45)/(1+$B49)^4.5-Q1_Actuals!D36+Q1_Actuals!D25+Q1_Actuals!D26+Q1_Actuals!D27-Assumptions!$F$21-Assumptions!$F$22+Assumptions!$F$20)*1000/IPO_Bridge!D11</f>
        <v/>
      </c>
      <c r="J49" s="159" t="n">
        <v>1.1</v>
      </c>
      <c r="K49" s="158">
        <f>(($L$38*Assumptions!$F$23*$J49)+((Assumptions!$F$24*Assumptions!$F$25-Assumptions!$F$26)*Assumptions!$F$27+(Assumptions!$F$28*Assumptions!$F$29-Assumptions!$F$30)*Assumptions!$F$31+(Assumptions!$F$32*Assumptions!$F$33-Assumptions!$F$34)*Assumptions!$F$35+Assumptions!$F$36+Assumptions!$F$37-Assumptions!$F$38-Assumptions!$F$39))*(1-K$45)*1000/Assumptions!$F$41</f>
        <v/>
      </c>
      <c r="L49" s="158">
        <f>(($L$38*Assumptions!$F$23*$J49)+((Assumptions!$F$24*Assumptions!$F$25-Assumptions!$F$26)*Assumptions!$F$27+(Assumptions!$F$28*Assumptions!$F$29-Assumptions!$F$30)*Assumptions!$F$31+(Assumptions!$F$32*Assumptions!$F$33-Assumptions!$F$34)*Assumptions!$F$35+Assumptions!$F$36+Assumptions!$F$37-Assumptions!$F$38-Assumptions!$F$39))*(1-L$45)*1000/Assumptions!$F$41</f>
        <v/>
      </c>
      <c r="M49" s="158">
        <f>(($L$38*Assumptions!$F$23*$J49)+((Assumptions!$F$24*Assumptions!$F$25-Assumptions!$F$26)*Assumptions!$F$27+(Assumptions!$F$28*Assumptions!$F$29-Assumptions!$F$30)*Assumptions!$F$31+(Assumptions!$F$32*Assumptions!$F$33-Assumptions!$F$34)*Assumptions!$F$35+Assumptions!$F$36+Assumptions!$F$37-Assumptions!$F$38-Assumptions!$F$39))*(1-M$45)*1000/Assumptions!$F$41</f>
        <v/>
      </c>
      <c r="N49" s="158">
        <f>(($L$38*Assumptions!$F$23*$J49)+((Assumptions!$F$24*Assumptions!$F$25-Assumptions!$F$26)*Assumptions!$F$27+(Assumptions!$F$28*Assumptions!$F$29-Assumptions!$F$30)*Assumptions!$F$31+(Assumptions!$F$32*Assumptions!$F$33-Assumptions!$F$34)*Assumptions!$F$35+Assumptions!$F$36+Assumptions!$F$37-Assumptions!$F$38-Assumptions!$F$39))*(1-N$45)*1000/Assumptions!$F$41</f>
        <v/>
      </c>
    </row>
    <row r="50">
      <c r="B50" s="157" t="n">
        <v>0.14</v>
      </c>
      <c r="C50" s="158">
        <f>(SUMPRODUCT($H$29:$L$29,1/(1+$B50)^{0.5,1.5,2.5,3.5,4.5})+$L$29*(1+C$45)/($B50-C$45)/(1+$B50)^4.5-Q1_Actuals!D36+Q1_Actuals!D25+Q1_Actuals!D26+Q1_Actuals!D27-Assumptions!$F$21-Assumptions!$F$22+Assumptions!$F$20)*1000/IPO_Bridge!D11</f>
        <v/>
      </c>
      <c r="D50" s="158">
        <f>(SUMPRODUCT($H$29:$L$29,1/(1+$B50)^{0.5,1.5,2.5,3.5,4.5})+$L$29*(1+D$45)/($B50-D$45)/(1+$B50)^4.5-Q1_Actuals!D36+Q1_Actuals!D25+Q1_Actuals!D26+Q1_Actuals!D27-Assumptions!$F$21-Assumptions!$F$22+Assumptions!$F$20)*1000/IPO_Bridge!D11</f>
        <v/>
      </c>
      <c r="E50" s="158">
        <f>(SUMPRODUCT($H$29:$L$29,1/(1+$B50)^{0.5,1.5,2.5,3.5,4.5})+$L$29*(1+E$45)/($B50-E$45)/(1+$B50)^4.5-Q1_Actuals!D36+Q1_Actuals!D25+Q1_Actuals!D26+Q1_Actuals!D27-Assumptions!$F$21-Assumptions!$F$22+Assumptions!$F$20)*1000/IPO_Bridge!D11</f>
        <v/>
      </c>
      <c r="F50" s="158">
        <f>(SUMPRODUCT($H$29:$L$29,1/(1+$B50)^{0.5,1.5,2.5,3.5,4.5})+$L$29*(1+F$45)/($B50-F$45)/(1+$B50)^4.5-Q1_Actuals!D36+Q1_Actuals!D25+Q1_Actuals!D26+Q1_Actuals!D27-Assumptions!$F$21-Assumptions!$F$22+Assumptions!$F$20)*1000/IPO_Bridge!D11</f>
        <v/>
      </c>
      <c r="G50" s="158">
        <f>(SUMPRODUCT($H$29:$L$29,1/(1+$B50)^{0.5,1.5,2.5,3.5,4.5})+$L$29*(1+G$45)/($B50-G$45)/(1+$B50)^4.5-Q1_Actuals!D36+Q1_Actuals!D25+Q1_Actuals!D26+Q1_Actuals!D27-Assumptions!$F$21-Assumptions!$F$22+Assumptions!$F$20)*1000/IPO_Bridge!D11</f>
        <v/>
      </c>
      <c r="J50" s="159" t="n">
        <v>1.2</v>
      </c>
      <c r="K50" s="158">
        <f>(($L$38*Assumptions!$F$23*$J50)+((Assumptions!$F$24*Assumptions!$F$25-Assumptions!$F$26)*Assumptions!$F$27+(Assumptions!$F$28*Assumptions!$F$29-Assumptions!$F$30)*Assumptions!$F$31+(Assumptions!$F$32*Assumptions!$F$33-Assumptions!$F$34)*Assumptions!$F$35+Assumptions!$F$36+Assumptions!$F$37-Assumptions!$F$38-Assumptions!$F$39))*(1-K$45)*1000/Assumptions!$F$41</f>
        <v/>
      </c>
      <c r="L50" s="158">
        <f>(($L$38*Assumptions!$F$23*$J50)+((Assumptions!$F$24*Assumptions!$F$25-Assumptions!$F$26)*Assumptions!$F$27+(Assumptions!$F$28*Assumptions!$F$29-Assumptions!$F$30)*Assumptions!$F$31+(Assumptions!$F$32*Assumptions!$F$33-Assumptions!$F$34)*Assumptions!$F$35+Assumptions!$F$36+Assumptions!$F$37-Assumptions!$F$38-Assumptions!$F$39))*(1-L$45)*1000/Assumptions!$F$41</f>
        <v/>
      </c>
      <c r="M50" s="158">
        <f>(($L$38*Assumptions!$F$23*$J50)+((Assumptions!$F$24*Assumptions!$F$25-Assumptions!$F$26)*Assumptions!$F$27+(Assumptions!$F$28*Assumptions!$F$29-Assumptions!$F$30)*Assumptions!$F$31+(Assumptions!$F$32*Assumptions!$F$33-Assumptions!$F$34)*Assumptions!$F$35+Assumptions!$F$36+Assumptions!$F$37-Assumptions!$F$38-Assumptions!$F$39))*(1-M$45)*1000/Assumptions!$F$41</f>
        <v/>
      </c>
      <c r="N50" s="158">
        <f>(($L$38*Assumptions!$F$23*$J50)+((Assumptions!$F$24*Assumptions!$F$25-Assumptions!$F$26)*Assumptions!$F$27+(Assumptions!$F$28*Assumptions!$F$29-Assumptions!$F$30)*Assumptions!$F$31+(Assumptions!$F$32*Assumptions!$F$33-Assumptions!$F$34)*Assumptions!$F$35+Assumptions!$F$36+Assumptions!$F$37-Assumptions!$F$38-Assumptions!$F$39))*(1-N$45)*1000/Assumptions!$F$41</f>
        <v/>
      </c>
    </row>
  </sheetData>
  <mergeCells count="7">
    <mergeCell ref="N20:R20"/>
    <mergeCell ref="B20:F20"/>
    <mergeCell ref="A2:R2"/>
    <mergeCell ref="H20:L20"/>
    <mergeCell ref="A43:H43"/>
    <mergeCell ref="J43:P43"/>
    <mergeCell ref="A1:R1"/>
  </mergeCells>
  <conditionalFormatting sqref="C46:G50">
    <cfRule type="colorScale" priority="1">
      <colorScale>
        <cfvo type="min"/>
        <cfvo type="percentile" val="50"/>
        <cfvo type="max"/>
        <color rgb="00FCE4D6"/>
        <color rgb="00FFF2CC"/>
        <color rgb="00E2F0D9"/>
      </colorScale>
    </cfRule>
  </conditionalFormatting>
  <conditionalFormatting sqref="K46:N50">
    <cfRule type="colorScale" priority="2">
      <colorScale>
        <cfvo type="min"/>
        <cfvo type="percentile" val="50"/>
        <cfvo type="max"/>
        <color rgb="00FCE4D6"/>
        <color rgb="00FFF2CC"/>
        <color rgb="00E2F0D9"/>
      </colorScale>
    </cfRule>
  </conditionalFormatting>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00A6A6"/>
    <outlinePr summaryBelow="1" summaryRight="1"/>
    <pageSetUpPr fitToPage="1"/>
  </sheetPr>
  <dimension ref="A1:J24"/>
  <sheetViews>
    <sheetView showGridLines="0" zoomScale="80" workbookViewId="0">
      <pane ySplit="4" topLeftCell="A5" activePane="bottomLeft" state="frozen"/>
      <selection pane="bottomLeft" activeCell="A1" sqref="A1"/>
    </sheetView>
  </sheetViews>
  <sheetFormatPr baseColWidth="8" defaultRowHeight="15"/>
  <cols>
    <col width="31" customWidth="1" min="1" max="1"/>
    <col width="18" customWidth="1" min="2" max="2"/>
    <col width="13" customWidth="1" min="3" max="3"/>
    <col width="49" customWidth="1" min="4" max="4"/>
    <col width="15" customWidth="1" min="5" max="5"/>
    <col width="18" customWidth="1" min="6" max="6"/>
    <col width="22" customWidth="1" min="7" max="7"/>
    <col width="50" customWidth="1" min="8" max="8"/>
    <col width="25" customWidth="1" min="9" max="9"/>
    <col width="25" customWidth="1" min="10" max="10"/>
  </cols>
  <sheetData>
    <row r="1" ht="31" customHeight="1">
      <c r="A1" s="20" t="inlineStr">
        <is>
          <t>Model QA &amp; publication gates</t>
        </is>
      </c>
    </row>
    <row r="2" ht="23" customHeight="1">
      <c r="A2" s="21" t="inlineStr">
        <is>
          <t>Critical errors must be zero. Warnings disclose missing evidence or judgement; they are not silently overwritten.</t>
        </is>
      </c>
    </row>
    <row r="4" ht="30" customHeight="1">
      <c r="A4" s="14" t="inlineStr">
        <is>
          <t>Check ID</t>
        </is>
      </c>
      <c r="B4" s="14" t="inlineStr">
        <is>
          <t>Area</t>
        </is>
      </c>
      <c r="C4" s="14" t="inlineStr">
        <is>
          <t>Severity</t>
        </is>
      </c>
      <c r="D4" s="14" t="inlineStr">
        <is>
          <t>Test</t>
        </is>
      </c>
      <c r="E4" s="14" t="inlineStr">
        <is>
          <t>Tolerance</t>
        </is>
      </c>
      <c r="F4" s="14" t="inlineStr">
        <is>
          <t>Calculated value</t>
        </is>
      </c>
      <c r="G4" s="14" t="inlineStr">
        <is>
          <t>Status</t>
        </is>
      </c>
      <c r="H4" s="14" t="inlineStr">
        <is>
          <t>Interpretation / action</t>
        </is>
      </c>
      <c r="J4" s="68" t="inlineStr">
        <is>
          <t>QA DASHBOARD</t>
        </is>
      </c>
    </row>
    <row r="5" ht="34" customHeight="1">
      <c r="A5" s="95" t="inlineStr">
        <is>
          <t>CHK_IPO_SHARES</t>
        </is>
      </c>
      <c r="B5" s="28" t="inlineStr">
        <is>
          <t>IPO</t>
        </is>
      </c>
      <c r="C5" s="160" t="inlineStr">
        <is>
          <t>Critical</t>
        </is>
      </c>
      <c r="D5" s="28" t="inlineStr">
        <is>
          <t>Pre shares + allocated shares = post shares</t>
        </is>
      </c>
      <c r="E5" s="39" t="n">
        <v>1e-06</v>
      </c>
      <c r="F5" s="161">
        <f>ABS(IPO_Bridge!D6+IPO_Bridge!D9-IPO_Bridge!D11)</f>
        <v/>
      </c>
      <c r="G5" s="162">
        <f>IF(F5&lt;=E5,"PASS","FAIL")</f>
        <v/>
      </c>
      <c r="H5" s="28" t="inlineStr">
        <is>
          <t>Share-count identity</t>
        </is>
      </c>
      <c r="I5" s="163" t="inlineStr">
        <is>
          <t>Critical FAIL</t>
        </is>
      </c>
      <c r="J5" s="164">
        <f>COUNTIFS(C5:C24,"Critical",G5:G24,"FAIL*")</f>
        <v/>
      </c>
    </row>
    <row r="6" ht="34" customHeight="1">
      <c r="A6" s="97" t="inlineStr">
        <is>
          <t>CHK_IPO_PROCEEDS</t>
        </is>
      </c>
      <c r="B6" s="31" t="inlineStr">
        <is>
          <t>IPO</t>
        </is>
      </c>
      <c r="C6" s="165" t="inlineStr">
        <is>
          <t>Critical</t>
        </is>
      </c>
      <c r="D6" s="31" t="inlineStr">
        <is>
          <t>Allocated shares × offer price = officially reported VND 13,315.080bn</t>
        </is>
      </c>
      <c r="E6" s="36" t="n">
        <v>0.001</v>
      </c>
      <c r="F6" s="166">
        <f>ABS(IPO_Bridge!D9*IPO_Bridge!D5/1000-13315.080)</f>
        <v/>
      </c>
      <c r="G6" s="167">
        <f>IF(F6&lt;=E6,"PASS","FAIL")</f>
        <v/>
      </c>
      <c r="H6" s="31" t="inlineStr">
        <is>
          <t>Unit conversion: mn shares × VND/share ÷ 1,000 = VND bn</t>
        </is>
      </c>
      <c r="I6" s="163" t="inlineStr">
        <is>
          <t>Warnings</t>
        </is>
      </c>
      <c r="J6" s="164">
        <f>COUNTIF(G5:G24,"WARN*")</f>
        <v/>
      </c>
    </row>
    <row r="7" ht="34" customHeight="1">
      <c r="A7" s="95" t="inlineStr">
        <is>
          <t>CHK_IPO_CANCELLED</t>
        </is>
      </c>
      <c r="B7" s="28" t="inlineStr">
        <is>
          <t>IPO</t>
        </is>
      </c>
      <c r="C7" s="160" t="inlineStr">
        <is>
          <t>Critical</t>
        </is>
      </c>
      <c r="D7" s="28" t="inlineStr">
        <is>
          <t>Offered − allocated − cancelled = 0</t>
        </is>
      </c>
      <c r="E7" s="39" t="n">
        <v>1e-06</v>
      </c>
      <c r="F7" s="161">
        <f>ABS(IPO_Bridge!D7-IPO_Bridge!D9-IPO_Bridge!D10)</f>
        <v/>
      </c>
      <c r="G7" s="162">
        <f>IF(F7&lt;=E7,"PASS","FAIL")</f>
        <v/>
      </c>
      <c r="H7" s="28" t="inlineStr">
        <is>
          <t>Unallocated shares are not added to charter capital</t>
        </is>
      </c>
      <c r="I7" s="163" t="inlineStr">
        <is>
          <t>Active scenario</t>
        </is>
      </c>
      <c r="J7" s="164">
        <f>Assumptions!C4</f>
        <v/>
      </c>
    </row>
    <row r="8" ht="34" customHeight="1">
      <c r="A8" s="97" t="inlineStr">
        <is>
          <t>CHK_IPO_VALUATION_IDENTITY</t>
        </is>
      </c>
      <c r="B8" s="31" t="inlineStr">
        <is>
          <t>IPO</t>
        </is>
      </c>
      <c r="C8" s="165" t="inlineStr">
        <is>
          <t>Critical</t>
        </is>
      </c>
      <c r="D8" s="31" t="inlineStr">
        <is>
          <t>Pre-money + gross proceeds = post-money at the same IPO price</t>
        </is>
      </c>
      <c r="E8" s="36" t="n">
        <v>0.001</v>
      </c>
      <c r="F8" s="166">
        <f>ABS(IPO_Bridge!D15+IPO_Bridge!D12-IPO_Bridge!D16)</f>
        <v/>
      </c>
      <c r="G8" s="167">
        <f>IF(F8&lt;=E8,"PASS","FAIL")</f>
        <v/>
      </c>
      <c r="H8" s="31" t="inlineStr">
        <is>
          <t>Transaction identity; not evidence of value creation</t>
        </is>
      </c>
      <c r="I8" s="163" t="inlineStr">
        <is>
          <t>Market conclusion allowed</t>
        </is>
      </c>
      <c r="J8" s="168">
        <f>IF(AND(J5=0,J6=0,Assumptions!C5&lt;&gt;"N/A",Assumptions!C6&lt;&gt;"N/A",Assumptions!C8&lt;&gt;"N/A"),"YES","NO")</f>
        <v/>
      </c>
    </row>
    <row r="9" ht="34" customHeight="1">
      <c r="A9" s="95" t="inlineStr">
        <is>
          <t>CHK_3S_BS_BALANCE</t>
        </is>
      </c>
      <c r="B9" s="28" t="inlineStr">
        <is>
          <t>Actuals</t>
        </is>
      </c>
      <c r="C9" s="160" t="inlineStr">
        <is>
          <t>Critical</t>
        </is>
      </c>
      <c r="D9" s="28" t="inlineStr">
        <is>
          <t>Assets − liabilities − equity = 0</t>
        </is>
      </c>
      <c r="E9" s="39" t="n">
        <v>0.5</v>
      </c>
      <c r="F9" s="161">
        <f>ABS(Q1_Actuals!D34-Q1_Actuals!D37-Q1_Actuals!D38)</f>
        <v/>
      </c>
      <c r="G9" s="162">
        <f>IF(F9&lt;=E9,"PASS","FAIL")</f>
        <v/>
      </c>
      <c r="H9" s="28" t="inlineStr">
        <is>
          <t>31-Mar-2026 consolidated balance sheet</t>
        </is>
      </c>
      <c r="I9" s="163" t="inlineStr">
        <is>
          <t>Workbook publishable now</t>
        </is>
      </c>
      <c r="J9" s="168">
        <f>IF(AND(J5=0,J6=0),"YES","NO — resolve warnings")</f>
        <v/>
      </c>
    </row>
    <row r="10" ht="34" customHeight="1">
      <c r="A10" s="97" t="inlineStr">
        <is>
          <t>CHK_3S_CASH_ROLL</t>
        </is>
      </c>
      <c r="B10" s="31" t="inlineStr">
        <is>
          <t>Actuals</t>
        </is>
      </c>
      <c r="C10" s="165" t="inlineStr">
        <is>
          <t>Critical</t>
        </is>
      </c>
      <c r="D10" s="31" t="inlineStr">
        <is>
          <t>Opening cash + net change + FX = closing cash</t>
        </is>
      </c>
      <c r="E10" s="36" t="n">
        <v>0.5</v>
      </c>
      <c r="F10" s="166">
        <f>ABS(Q1_Actuals!D50+Q1_Actuals!D49+Q1_Actuals!D51-Q1_Actuals!D52)</f>
        <v/>
      </c>
      <c r="G10" s="167">
        <f>IF(F10&lt;=E10,"PASS","FAIL")</f>
        <v/>
      </c>
      <c r="H10" s="31" t="inlineStr">
        <is>
          <t>Q1 2026 cash-flow roll-forward</t>
        </is>
      </c>
    </row>
    <row r="11" ht="34" customHeight="1">
      <c r="A11" s="95" t="inlineStr">
        <is>
          <t>CHK_IS_GROSS_PROFIT</t>
        </is>
      </c>
      <c r="B11" s="28" t="inlineStr">
        <is>
          <t>Actuals</t>
        </is>
      </c>
      <c r="C11" s="160" t="inlineStr">
        <is>
          <t>Critical</t>
        </is>
      </c>
      <c r="D11" s="28" t="inlineStr">
        <is>
          <t>Revenue + reported COGS − gross profit = 0</t>
        </is>
      </c>
      <c r="E11" s="39" t="n">
        <v>0.5</v>
      </c>
      <c r="F11" s="161">
        <f>ABS(Q1_Actuals!D6+Q1_Actuals!D7-Q1_Actuals!D8)</f>
        <v/>
      </c>
      <c r="G11" s="162">
        <f>IF(F11&lt;=E11,"PASS","FAIL")</f>
        <v/>
      </c>
      <c r="H11" s="28" t="inlineStr">
        <is>
          <t>Reported expense sign is negative</t>
        </is>
      </c>
    </row>
    <row r="12" ht="34" customHeight="1">
      <c r="A12" s="97" t="inlineStr">
        <is>
          <t>CHK_DCF_WACC_GT_G</t>
        </is>
      </c>
      <c r="B12" s="31" t="inlineStr">
        <is>
          <t>DCF</t>
        </is>
      </c>
      <c r="C12" s="165" t="inlineStr">
        <is>
          <t>Critical</t>
        </is>
      </c>
      <c r="D12" s="31" t="inlineStr">
        <is>
          <t>WACC must exceed terminal growth</t>
        </is>
      </c>
      <c r="E12" s="36" t="n">
        <v>0</v>
      </c>
      <c r="F12" s="166">
        <f>DMX_Valuation!K6-DMX_Valuation!K7</f>
        <v/>
      </c>
      <c r="G12" s="167">
        <f>IF(F12&gt;E12,"PASS","FAIL")</f>
        <v/>
      </c>
      <c r="H12" s="31" t="inlineStr">
        <is>
          <t>A non-positive spread makes perpetuity value invalid</t>
        </is>
      </c>
    </row>
    <row r="13" ht="34" customHeight="1">
      <c r="A13" s="95" t="inlineStr">
        <is>
          <t>CHK_DCF_EV_BRIDGE</t>
        </is>
      </c>
      <c r="B13" s="28" t="inlineStr">
        <is>
          <t>DCF</t>
        </is>
      </c>
      <c r="C13" s="160" t="inlineStr">
        <is>
          <t>Critical</t>
        </is>
      </c>
      <c r="D13" s="28" t="inlineStr">
        <is>
          <t>EV = PV explicit FCFF + PV terminal value</t>
        </is>
      </c>
      <c r="E13" s="39" t="n">
        <v>0.01</v>
      </c>
      <c r="F13" s="161">
        <f>ABS(DMX_Valuation!K12-DMX_Valuation!K11-DMX_Valuation!K10)</f>
        <v/>
      </c>
      <c r="G13" s="162">
        <f>IF(F13&lt;=E13,"PASS","FAIL")</f>
        <v/>
      </c>
      <c r="H13" s="28" t="inlineStr">
        <is>
          <t>Enterprise-value bridge</t>
        </is>
      </c>
    </row>
    <row r="14" ht="34" customHeight="1">
      <c r="A14" s="97" t="inlineStr">
        <is>
          <t>CHK_DCF_EQUITY_BRIDGE</t>
        </is>
      </c>
      <c r="B14" s="31" t="inlineStr">
        <is>
          <t>DCF</t>
        </is>
      </c>
      <c r="C14" s="165" t="inlineStr">
        <is>
          <t>Critical</t>
        </is>
      </c>
      <c r="D14" s="31" t="inlineStr">
        <is>
          <t>DMX equity bridge recomputes from EV and each claim/asset</t>
        </is>
      </c>
      <c r="E14" s="36" t="n">
        <v>0.01</v>
      </c>
      <c r="F14" s="166">
        <f>ABS(DMX_Valuation!K23-(DMX_Valuation!K12-DMX_Valuation!K15+DMX_Valuation!K16+DMX_Valuation!K17+DMX_Valuation!K18-DMX_Valuation!K19-DMX_Valuation!K20+DMX_Valuation!K21+DMX_Valuation!K22))</f>
        <v/>
      </c>
      <c r="G14" s="167">
        <f>IF(F14&lt;=E14,"PASS","FAIL")</f>
        <v/>
      </c>
      <c r="H14" s="31" t="inlineStr">
        <is>
          <t>No unexplained plug in the EV-to-equity bridge</t>
        </is>
      </c>
    </row>
    <row r="15" ht="34" customHeight="1">
      <c r="A15" s="95" t="inlineStr">
        <is>
          <t>CHK_DCF_NO_DOUBLE_COUNT_IPO</t>
        </is>
      </c>
      <c r="B15" s="28" t="inlineStr">
        <is>
          <t>DCF</t>
        </is>
      </c>
      <c r="C15" s="160" t="inlineStr">
        <is>
          <t>Critical</t>
        </is>
      </c>
      <c r="D15" s="28" t="inlineStr">
        <is>
          <t>Net IPO proceeds bridge equals the issuer estimate and is included once</t>
        </is>
      </c>
      <c r="E15" s="39" t="n">
        <v>0.01</v>
      </c>
      <c r="F15" s="161">
        <f>ABS(DMX_Valuation!K22-IPO_Bridge!D19)</f>
        <v/>
      </c>
      <c r="G15" s="162">
        <f>IF(F15&lt;=E15,"PASS","FAIL")</f>
        <v/>
      </c>
      <c r="H15" s="28" t="inlineStr">
        <is>
          <t>Q1 cash/debt are pre-IPO; Resolution 15 net proceeds bridge to post-IPO shares without being embedded in cash</t>
        </is>
      </c>
    </row>
    <row r="16" ht="34" customHeight="1">
      <c r="A16" s="97" t="inlineStr">
        <is>
          <t>CHK_DCF_TV_SHARE</t>
        </is>
      </c>
      <c r="B16" s="31" t="inlineStr">
        <is>
          <t>DCF</t>
        </is>
      </c>
      <c r="C16" s="169" t="inlineStr">
        <is>
          <t>Warning</t>
        </is>
      </c>
      <c r="D16" s="31" t="inlineStr">
        <is>
          <t>Terminal-value share of EV should be reviewed if above 85%</t>
        </is>
      </c>
      <c r="E16" s="36" t="n">
        <v>0.85</v>
      </c>
      <c r="F16" s="116">
        <f>DMX_Valuation!K13</f>
        <v/>
      </c>
      <c r="G16" s="167">
        <f>IF(F16&lt;=E16,"PASS","WARN — high terminal value")</f>
        <v/>
      </c>
      <c r="H16" s="31" t="inlineStr">
        <is>
          <t>Sensitivity is presented even when this check passes</t>
        </is>
      </c>
    </row>
    <row r="17" ht="34" customHeight="1">
      <c r="A17" s="95" t="inlineStr">
        <is>
          <t>CHK_SOTP_NO_DUPLICATE_BUCKET</t>
        </is>
      </c>
      <c r="B17" s="28" t="inlineStr">
        <is>
          <t>SOTP</t>
        </is>
      </c>
      <c r="C17" s="160" t="inlineStr">
        <is>
          <t>Critical</t>
        </is>
      </c>
      <c r="D17" s="28" t="inlineStr">
        <is>
          <t>Every double-count bucket is unique</t>
        </is>
      </c>
      <c r="E17" s="39" t="n">
        <v>0</v>
      </c>
      <c r="F17" s="161">
        <f>COUNTA(MWG_SOTP!K5:K10)-SUMPRODUCT(1/COUNTIF(MWG_SOTP!K5:K10,MWG_SOTP!K5:K10))</f>
        <v/>
      </c>
      <c r="G17" s="162">
        <f>IF(F17&lt;=E17,"PASS","FAIL")</f>
        <v/>
      </c>
      <c r="H17" s="28" t="inlineStr">
        <is>
          <t>EraBlue is inside the DMX DCF bucket only</t>
        </is>
      </c>
    </row>
    <row r="18" ht="34" customHeight="1">
      <c r="A18" s="97" t="inlineStr">
        <is>
          <t>CHK_SOTP_EQUITY_BRIDGE</t>
        </is>
      </c>
      <c r="B18" s="31" t="inlineStr">
        <is>
          <t>SOTP</t>
        </is>
      </c>
      <c r="C18" s="165" t="inlineStr">
        <is>
          <t>Critical</t>
        </is>
      </c>
      <c r="D18" s="31" t="inlineStr">
        <is>
          <t>Post-discount NAV = (GAV − parent debt − provisions) × (1 − discount)</t>
        </is>
      </c>
      <c r="E18" s="36" t="n">
        <v>0.01</v>
      </c>
      <c r="F18" s="166">
        <f>ABS(MWG_SOTP!C19-(MWG_SOTP!C14-MWG_SOTP!C15-MWG_SOTP!C16)*(1-MWG_SOTP!C18))</f>
        <v/>
      </c>
      <c r="G18" s="167">
        <f>IF(F18&lt;=E18,"PASS","FAIL")</f>
        <v/>
      </c>
      <c r="H18" s="31" t="inlineStr">
        <is>
          <t>Equity-level SOTP bridge</t>
        </is>
      </c>
    </row>
    <row r="19" ht="34" customHeight="1">
      <c r="A19" s="95" t="inlineStr">
        <is>
          <t>CHK_PERIMETER_ERABLUE</t>
        </is>
      </c>
      <c r="B19" s="28" t="inlineStr">
        <is>
          <t>SOTP</t>
        </is>
      </c>
      <c r="C19" s="160" t="inlineStr">
        <is>
          <t>Critical</t>
        </is>
      </c>
      <c r="D19" s="28" t="inlineStr">
        <is>
          <t>EraBlue must not appear as a separate MWG SOTP asset row</t>
        </is>
      </c>
      <c r="E19" s="39" t="n">
        <v>0</v>
      </c>
      <c r="F19" s="161">
        <f>COUNTIF(MWG_SOTP!A5:A10,"*EraBlue*")</f>
        <v/>
      </c>
      <c r="G19" s="162">
        <f>IF(F19&lt;=E19,"PASS","FAIL")</f>
        <v/>
      </c>
      <c r="H19" s="28" t="inlineStr">
        <is>
          <t>EraBlue value is included once inside DMX</t>
        </is>
      </c>
    </row>
    <row r="20" ht="34" customHeight="1">
      <c r="A20" s="97" t="inlineStr">
        <is>
          <t>CHK_OWNERSHIP_EXACT</t>
        </is>
      </c>
      <c r="B20" s="31" t="inlineStr">
        <is>
          <t>Ownership</t>
        </is>
      </c>
      <c r="C20" s="169" t="inlineStr">
        <is>
          <t>Warning</t>
        </is>
      </c>
      <c r="D20" s="31" t="inlineStr">
        <is>
          <t>Exact post-IPO MWG ownership is required for production use</t>
        </is>
      </c>
      <c r="E20" s="36" t="n">
        <v>0</v>
      </c>
      <c r="F20" s="166">
        <f>IF(Assumptions!C8="N/A",1,0)</f>
        <v/>
      </c>
      <c r="G20" s="167">
        <f>IF(F20=0,"PASS","WARN — rounded proxy only")</f>
        <v/>
      </c>
      <c r="H20" s="31" t="inlineStr">
        <is>
          <t>Do not infer exact shares from 'nearly 86%'</t>
        </is>
      </c>
    </row>
    <row r="21" ht="34" customHeight="1">
      <c r="A21" s="95" t="inlineStr">
        <is>
          <t>CHK_MARKET_PRICE_DATE</t>
        </is>
      </c>
      <c r="B21" s="28" t="inlineStr">
        <is>
          <t>Market data</t>
        </is>
      </c>
      <c r="C21" s="170" t="inlineStr">
        <is>
          <t>Warning</t>
        </is>
      </c>
      <c r="D21" s="28" t="inlineStr">
        <is>
          <t>Valuation date and same-date market price are both required</t>
        </is>
      </c>
      <c r="E21" s="39" t="n">
        <v>0</v>
      </c>
      <c r="F21" s="161">
        <f>IF(OR(Assumptions!C5="N/A",Assumptions!C6="N/A"),1,0)</f>
        <v/>
      </c>
      <c r="G21" s="162">
        <f>IF(F21=0,"PASS","WARN — market data absent")</f>
        <v/>
      </c>
      <c r="H21" s="28" t="inlineStr">
        <is>
          <t>Expected warning; market conclusion remains blocked</t>
        </is>
      </c>
    </row>
    <row r="22" ht="34" customHeight="1">
      <c r="A22" s="97" t="inlineStr">
        <is>
          <t>CHK_MARKET_CONCLUSION_GUARD</t>
        </is>
      </c>
      <c r="B22" s="31" t="inlineStr">
        <is>
          <t>Publication</t>
        </is>
      </c>
      <c r="C22" s="165" t="inlineStr">
        <is>
          <t>Critical</t>
        </is>
      </c>
      <c r="D22" s="31" t="inlineStr">
        <is>
          <t>Market conclusion must remain unavailable while price/date are absent</t>
        </is>
      </c>
      <c r="E22" s="36" t="n">
        <v>0</v>
      </c>
      <c r="F22" s="166">
        <f>IF(AND(DMX_Valuation!K29="UNAVAILABLE — model output only",MWG_SOTP!C24="UNAVAILABLE"),0,1)</f>
        <v/>
      </c>
      <c r="G22" s="167">
        <f>IF(F22=0,"PASS","FAIL")</f>
        <v/>
      </c>
      <c r="H22" s="31" t="inlineStr">
        <is>
          <t>Prevents unsupported upside/downside language</t>
        </is>
      </c>
    </row>
    <row r="23" ht="34" customHeight="1">
      <c r="A23" s="95" t="inlineStr">
        <is>
          <t>CHK_ACTUAL_SOURCE_COMPLETE</t>
        </is>
      </c>
      <c r="B23" s="28" t="inlineStr">
        <is>
          <t>Sources</t>
        </is>
      </c>
      <c r="C23" s="160" t="inlineStr">
        <is>
          <t>Critical</t>
        </is>
      </c>
      <c r="D23" s="28" t="inlineStr">
        <is>
          <t>Every row labelled Actual has a registered source ID</t>
        </is>
      </c>
      <c r="E23" s="39" t="n">
        <v>0</v>
      </c>
      <c r="F23" s="161">
        <f>COUNTIFS(Q1_Actuals!I5:I53,"Actual",Q1_Actuals!G5:G53,"")+SUMPRODUCT(--(Q1_Actuals!I5:I53="Actual"),--(Q1_Actuals!G5:G53&lt;&gt;""),--ISNA(MATCH(Q1_Actuals!G5:G53,Sources!$A$5:$A$15,0)))</f>
        <v/>
      </c>
      <c r="G23" s="162">
        <f>IF(F23=0,"PASS","FAIL")</f>
        <v/>
      </c>
      <c r="H23" s="28" t="inlineStr">
        <is>
          <t>Source locator is displayed beside each actual and the ID must exist in Sources</t>
        </is>
      </c>
    </row>
    <row r="24" ht="34" customHeight="1">
      <c r="A24" s="97" t="inlineStr">
        <is>
          <t>CHK_SCENARIO_LINKS</t>
        </is>
      </c>
      <c r="B24" s="31" t="inlineStr">
        <is>
          <t>Scenarios</t>
        </is>
      </c>
      <c r="C24" s="165" t="inlineStr">
        <is>
          <t>Critical</t>
        </is>
      </c>
      <c r="D24" s="31" t="inlineStr">
        <is>
          <t>Active scenario must be Bear, Base or Bull</t>
        </is>
      </c>
      <c r="E24" s="36" t="n">
        <v>0</v>
      </c>
      <c r="F24" s="166">
        <f>IF(OR(Assumptions!C4="Bear",Assumptions!C4="Base",Assumptions!C4="Bull"),0,1)</f>
        <v/>
      </c>
      <c r="G24" s="167">
        <f>IF(F24=0,"PASS","FAIL")</f>
        <v/>
      </c>
      <c r="H24" s="31" t="inlineStr">
        <is>
          <t>Scenario selector controls active assumption formulas</t>
        </is>
      </c>
    </row>
  </sheetData>
  <autoFilter ref="A4:H24"/>
  <mergeCells count="2">
    <mergeCell ref="A1:J1"/>
    <mergeCell ref="A2:J2"/>
  </mergeCells>
  <conditionalFormatting sqref="G5:G24">
    <cfRule type="expression" priority="1" dxfId="0">
      <formula>LEFT(G5,4)="PASS"</formula>
    </cfRule>
    <cfRule type="expression" priority="2" dxfId="1">
      <formula>LEFT(G5,4)="FAIL"</formula>
    </cfRule>
    <cfRule type="expression" priority="3" dxfId="2">
      <formula>LEFT(G5,4)="WARN"</formula>
    </cfRule>
  </conditionalFormatting>
  <pageMargins left="0.75" right="0.75" top="1" bottom="1" header="0.5" footer="0.5"/>
  <pageSetup orientation="landscape" fitToHeight="0" fitToWidth="1"/>
  <headerFooter>
    <oddHeader/>
    <oddFooter>&amp;CMWG / DMX IPO SOTP — portfolio case study — not investment advice&amp;RPage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Independent analyst work sample</dc:creator>
  <dc:title xmlns:dc="http://purl.org/dc/elements/1.1/">MWG After the DMX IPO — DCF and SOTP Model</dc:title>
  <dc:description xmlns:dc="http://purl.org/dc/elements/1.1/">Official facts, company outlook and illustrative assumptions are separated. No investment recommendation or market conclusion.</dc:description>
  <dc:subject xmlns:dc="http://purl.org/dc/elements/1.1/">Portfolio financial model: IPO bridge, DMX DCF and MWG SOTP</dc:subject>
  <dcterms:created xmlns:dcterms="http://purl.org/dc/terms/" xmlns:xsi="http://www.w3.org/2001/XMLSchema-instance" xsi:type="dcterms:W3CDTF">2026-07-13T15:00:08Z</dcterms:created>
  <dcterms:modified xmlns:dcterms="http://purl.org/dc/terms/" xmlns:xsi="http://www.w3.org/2001/XMLSchema-instance" xsi:type="dcterms:W3CDTF">2026-07-13T15:00:09Z</dcterms:modified>
  <cp:keywords>MWG, DMX, IPO, DCF, SOTP, Vietnam, financial model</cp:keywords>
</cp:coreProperties>
</file>