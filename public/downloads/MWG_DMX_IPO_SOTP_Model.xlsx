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ources" sheetId="2" state="visible" r:id="rId2"/>
    <sheet xmlns:r="http://schemas.openxmlformats.org/officeDocument/2006/relationships" name="IPO_Bridge" sheetId="3" state="visible" r:id="rId3"/>
    <sheet xmlns:r="http://schemas.openxmlformats.org/officeDocument/2006/relationships" name="Q1_Actuals" sheetId="4" state="visible" r:id="rId4"/>
    <sheet xmlns:r="http://schemas.openxmlformats.org/officeDocument/2006/relationships" name="Mgmt_Forecast" sheetId="5" state="visible" r:id="rId5"/>
    <sheet xmlns:r="http://schemas.openxmlformats.org/officeDocument/2006/relationships" name="Assumptions" sheetId="6" state="visible" r:id="rId6"/>
    <sheet xmlns:r="http://schemas.openxmlformats.org/officeDocument/2006/relationships" name="DMX_Valuation" sheetId="7" state="visible" r:id="rId7"/>
    <sheet xmlns:r="http://schemas.openxmlformats.org/officeDocument/2006/relationships" name="MWG_SOTP" sheetId="8" state="visible" r:id="rId8"/>
    <sheet xmlns:r="http://schemas.openxmlformats.org/officeDocument/2006/relationships" name="Scenarios" sheetId="9" state="visible" r:id="rId9"/>
    <sheet xmlns:r="http://schemas.openxmlformats.org/officeDocument/2006/relationships" name="Checks" sheetId="10" state="visible" r:id="rId10"/>
  </sheets>
  <definedNames>
    <definedName name="_xlnm.Print_Area" localSheetId="0">'Cover'!$B$2:$J$41</definedName>
    <definedName name="_xlnm._FilterDatabase" localSheetId="3" hidden="1">'Q1_Actuals'!$A$4:$J$53</definedName>
    <definedName name="_xlnm._FilterDatabase" localSheetId="5" hidden="1">'Assumptions'!$A$10:$K$41</definedName>
    <definedName name="_xlnm._FilterDatabase" localSheetId="9" hidden="1">'Checks'!$A$4:$H$24</definedName>
  </definedNames>
  <calcPr calcId="191029" calcMode="auto" fullCalcOnLoad="1" forceFullCalc="1"/>
</workbook>
</file>

<file path=xl/styles.xml><?xml version="1.0" encoding="utf-8"?>
<styleSheet xmlns="http://schemas.openxmlformats.org/spreadsheetml/2006/main">
  <numFmts count="9">
    <numFmt numFmtId="164" formatCode="yyyy-mm-dd"/>
    <numFmt numFmtId="165" formatCode="dd-mmm-yyyy"/>
    <numFmt numFmtId="166" formatCode="yyyy-mm-dd h:mm:ss"/>
    <numFmt numFmtId="167" formatCode="#,##0;[Red](#,##0);-"/>
    <numFmt numFmtId="168" formatCode="#,##0.0000"/>
    <numFmt numFmtId="169" formatCode="#,##0.00;[Red](#,##0.00);-"/>
    <numFmt numFmtId="170" formatCode="#,##0.0;[Red](#,##0.0);-"/>
    <numFmt numFmtId="171" formatCode="0.0%"/>
    <numFmt numFmtId="172" formatCode="0.0x"/>
  </numFmts>
  <fonts count="23">
    <font>
      <name val="Calibri"/>
      <family val="2"/>
      <color theme="1"/>
      <sz val="11"/>
      <scheme val="minor"/>
    </font>
    <font>
      <name val="Aptos Display"/>
      <b val="1"/>
      <color rgb="00FFFFFF"/>
      <sz val="27"/>
    </font>
    <font>
      <name val="Aptos"/>
      <i val="1"/>
      <color rgb="00D9EAF7"/>
      <sz val="13"/>
    </font>
    <font>
      <name val="Aptos"/>
      <b val="1"/>
      <color rgb="00FFFFFF"/>
      <sz val="10"/>
    </font>
    <font>
      <name val="Aptos"/>
      <b val="1"/>
      <color rgb="000B1F3A"/>
      <sz val="9"/>
    </font>
    <font>
      <name val="Aptos"/>
      <color rgb="00202124"/>
      <sz val="9"/>
    </font>
    <font>
      <name val="Aptos"/>
      <color rgb="00687078"/>
      <sz val="9"/>
    </font>
    <font>
      <name val="Aptos"/>
      <b val="1"/>
      <color rgb="00008000"/>
      <sz val="9"/>
    </font>
    <font>
      <name val="Aptos"/>
      <b val="1"/>
      <color rgb="00202124"/>
      <sz val="9"/>
    </font>
    <font>
      <name val="Aptos"/>
      <color rgb="00202124"/>
      <sz val="10"/>
    </font>
    <font>
      <name val="Aptos"/>
      <b val="1"/>
      <color rgb="00FFFFFF"/>
      <sz val="9"/>
    </font>
    <font>
      <name val="Calibri"/>
      <family val="2"/>
      <color theme="10"/>
      <sz val="12"/>
      <scheme val="minor"/>
    </font>
    <font>
      <name val="Aptos"/>
      <b val="1"/>
      <color rgb="000B1F3A"/>
      <sz val="10"/>
    </font>
    <font>
      <name val="Aptos Display"/>
      <b val="1"/>
      <color rgb="00FFFFFF"/>
      <sz val="18"/>
    </font>
    <font>
      <name val="Aptos"/>
      <i val="1"/>
      <color rgb="00D9EAF7"/>
      <sz val="10"/>
    </font>
    <font>
      <name val="Aptos"/>
      <i val="1"/>
      <color rgb="000B1F3A"/>
      <sz val="9"/>
    </font>
    <font>
      <name val="Aptos"/>
      <color rgb="000000FF"/>
      <sz val="9"/>
    </font>
    <font>
      <name val="Aptos"/>
      <b val="1"/>
      <sz val="9"/>
    </font>
    <font>
      <name val="Aptos"/>
      <b val="1"/>
      <color rgb="000000FF"/>
      <sz val="11"/>
    </font>
    <font>
      <name val="Aptos"/>
      <color rgb="000B1F3A"/>
      <sz val="9"/>
    </font>
    <font>
      <name val="Aptos"/>
      <color rgb="00008000"/>
      <sz val="9"/>
    </font>
    <font>
      <name val="Aptos"/>
      <b val="1"/>
      <color rgb="00C00000"/>
      <sz val="9"/>
    </font>
    <font>
      <name val="Aptos"/>
      <b val="1"/>
      <color rgb="00ED7D31"/>
      <sz val="9"/>
    </font>
  </fonts>
  <fills count="10">
    <fill>
      <patternFill/>
    </fill>
    <fill>
      <patternFill patternType="gray125"/>
    </fill>
    <fill>
      <patternFill patternType="solid">
        <fgColor rgb="000B1F3A"/>
      </patternFill>
    </fill>
    <fill>
      <patternFill patternType="solid">
        <fgColor rgb="0017365D"/>
      </patternFill>
    </fill>
    <fill>
      <patternFill patternType="solid">
        <fgColor rgb="00D9EAF7"/>
      </patternFill>
    </fill>
    <fill>
      <patternFill patternType="solid">
        <fgColor rgb="00FFF2CC"/>
      </patternFill>
    </fill>
    <fill>
      <patternFill patternType="solid">
        <fgColor rgb="00FFFFFF"/>
      </patternFill>
    </fill>
    <fill>
      <patternFill patternType="solid">
        <fgColor rgb="00F2F4F7"/>
      </patternFill>
    </fill>
    <fill>
      <patternFill patternType="solid">
        <fgColor rgb="0000A6A6"/>
      </patternFill>
    </fill>
    <fill>
      <patternFill patternType="solid">
        <fgColor rgb="00DDEBF7"/>
      </patternFill>
    </fill>
  </fills>
  <borders count="4">
    <border>
      <left/>
      <right/>
      <top/>
      <bottom/>
      <diagonal/>
    </border>
    <border>
      <left style="thin">
        <color rgb="00D9DEE5"/>
      </left>
      <right style="thin">
        <color rgb="00D9DEE5"/>
      </right>
      <top style="thin">
        <color rgb="00D9DEE5"/>
      </top>
      <bottom style="thin">
        <color rgb="00D9DEE5"/>
      </bottom>
    </border>
    <border>
      <bottom style="thin">
        <color rgb="00D9DEE5"/>
      </bottom>
    </border>
    <border>
      <left style="medium">
        <color rgb="000B1F3A"/>
      </left>
      <right style="medium">
        <color rgb="000B1F3A"/>
      </right>
      <top style="medium">
        <color rgb="000B1F3A"/>
      </top>
      <bottom style="medium">
        <color rgb="000B1F3A"/>
      </bottom>
    </border>
  </borders>
  <cellStyleXfs count="2">
    <xf numFmtId="0" fontId="0" fillId="0" borderId="0"/>
    <xf numFmtId="0" fontId="11" fillId="0" borderId="0"/>
  </cellStyleXfs>
  <cellXfs count="133">
    <xf numFmtId="0" fontId="0" fillId="0" borderId="0" pivotButton="0" quotePrefix="0" xfId="0"/>
    <xf numFmtId="0" fontId="0" fillId="2"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0" fillId="3" borderId="0" pivotButton="0" quotePrefix="0" xfId="0"/>
    <xf numFmtId="0" fontId="3" fillId="3" borderId="0" applyAlignment="1" pivotButton="0" quotePrefix="0" xfId="0">
      <alignment vertical="center"/>
    </xf>
    <xf numFmtId="0" fontId="4" fillId="0" borderId="0" pivotButton="0" quotePrefix="0" xfId="0"/>
    <xf numFmtId="0" fontId="5" fillId="4" borderId="0" pivotButton="0" quotePrefix="0" xfId="0"/>
    <xf numFmtId="0" fontId="6" fillId="0" borderId="0" applyAlignment="1" pivotButton="0" quotePrefix="0" xfId="0">
      <alignment vertical="center" wrapText="1"/>
    </xf>
    <xf numFmtId="165" fontId="5" fillId="4" borderId="0" pivotButton="0" quotePrefix="0" xfId="0"/>
    <xf numFmtId="0" fontId="7" fillId="4" borderId="0" pivotButton="0" quotePrefix="0" xfId="0"/>
    <xf numFmtId="0" fontId="8" fillId="5" borderId="0" pivotButton="0" quotePrefix="0" xfId="0"/>
    <xf numFmtId="0" fontId="9" fillId="6" borderId="0" applyAlignment="1" pivotButton="0" quotePrefix="0" xfId="0">
      <alignment vertical="center" wrapText="1"/>
    </xf>
    <xf numFmtId="0" fontId="9" fillId="7" borderId="0" applyAlignment="1" pivotButton="0" quotePrefix="0" xfId="0">
      <alignment vertical="center" wrapText="1"/>
    </xf>
    <xf numFmtId="0" fontId="10" fillId="8" borderId="1" applyAlignment="1" pivotButton="0" quotePrefix="0" xfId="0">
      <alignment horizontal="center" vertical="center" wrapText="1"/>
    </xf>
    <xf numFmtId="0" fontId="11" fillId="7" borderId="2" applyAlignment="1" pivotButton="0" quotePrefix="0" xfId="1">
      <alignment vertical="center" wrapText="1"/>
    </xf>
    <xf numFmtId="0" fontId="0" fillId="7" borderId="2" applyAlignment="1" pivotButton="0" quotePrefix="0" xfId="0">
      <alignment vertical="center" wrapText="1"/>
    </xf>
    <xf numFmtId="0" fontId="11" fillId="6" borderId="2" applyAlignment="1" pivotButton="0" quotePrefix="0" xfId="1">
      <alignment vertical="center" wrapText="1"/>
    </xf>
    <xf numFmtId="0" fontId="0" fillId="6" borderId="2" applyAlignment="1" pivotButton="0" quotePrefix="0" xfId="0">
      <alignment vertical="center" wrapText="1"/>
    </xf>
    <xf numFmtId="0" fontId="12" fillId="5" borderId="3" applyAlignment="1" pivotButton="0" quotePrefix="0" xfId="0">
      <alignment vertical="center" wrapText="1"/>
    </xf>
    <xf numFmtId="0" fontId="13" fillId="2" borderId="0" applyAlignment="1" pivotButton="0" quotePrefix="0" xfId="0">
      <alignment vertical="center"/>
    </xf>
    <xf numFmtId="0" fontId="14" fillId="3" borderId="0" applyAlignment="1" pivotButton="0" quotePrefix="0" xfId="0">
      <alignment vertical="center"/>
    </xf>
    <xf numFmtId="0" fontId="5" fillId="6" borderId="2" applyAlignment="1" pivotButton="0" quotePrefix="0" xfId="0">
      <alignment vertical="top" wrapText="1"/>
    </xf>
    <xf numFmtId="165" fontId="5" fillId="6" borderId="2" applyAlignment="1" pivotButton="0" quotePrefix="0" xfId="0">
      <alignment vertical="top" wrapText="1"/>
    </xf>
    <xf numFmtId="0" fontId="11" fillId="0" borderId="0" pivotButton="0" quotePrefix="0" xfId="1"/>
    <xf numFmtId="0" fontId="5" fillId="7" borderId="2" applyAlignment="1" pivotButton="0" quotePrefix="0" xfId="0">
      <alignment vertical="top" wrapText="1"/>
    </xf>
    <xf numFmtId="165" fontId="5" fillId="7" borderId="2" applyAlignment="1" pivotButton="0" quotePrefix="0" xfId="0">
      <alignment vertical="top" wrapText="1"/>
    </xf>
    <xf numFmtId="0" fontId="15" fillId="4" borderId="0" applyAlignment="1" pivotButton="0" quotePrefix="0" xfId="0">
      <alignment vertical="center" wrapText="1"/>
    </xf>
    <xf numFmtId="0" fontId="5" fillId="6" borderId="2" applyAlignment="1" pivotButton="0" quotePrefix="0" xfId="0">
      <alignment vertical="center" wrapText="1"/>
    </xf>
    <xf numFmtId="167" fontId="16" fillId="6" borderId="2" applyAlignment="1" pivotButton="0" quotePrefix="0" xfId="0">
      <alignment vertical="center" wrapText="1"/>
    </xf>
    <xf numFmtId="0" fontId="17" fillId="0" borderId="0" applyAlignment="1" pivotButton="0" quotePrefix="0" xfId="0">
      <alignment horizontal="center" vertical="center" wrapText="1"/>
    </xf>
    <xf numFmtId="0" fontId="5" fillId="7" borderId="2" applyAlignment="1" pivotButton="0" quotePrefix="0" xfId="0">
      <alignment vertical="center" wrapText="1"/>
    </xf>
    <xf numFmtId="168" fontId="16" fillId="7" borderId="2" applyAlignment="1" pivotButton="0" quotePrefix="0" xfId="0">
      <alignment vertical="center" wrapText="1"/>
    </xf>
    <xf numFmtId="168" fontId="16" fillId="6" borderId="2" applyAlignment="1" pivotButton="0" quotePrefix="0" xfId="0">
      <alignment vertical="center" wrapText="1"/>
    </xf>
    <xf numFmtId="168" fontId="5" fillId="7" borderId="2" applyAlignment="1" pivotButton="0" quotePrefix="0" xfId="0">
      <alignment vertical="center" wrapText="1"/>
    </xf>
    <xf numFmtId="168" fontId="5" fillId="6" borderId="2" applyAlignment="1" pivotButton="0" quotePrefix="0" xfId="0">
      <alignment vertical="center" wrapText="1"/>
    </xf>
    <xf numFmtId="169" fontId="5" fillId="7" borderId="2" applyAlignment="1" pivotButton="0" quotePrefix="0" xfId="0">
      <alignment vertical="center" wrapText="1"/>
    </xf>
    <xf numFmtId="10" fontId="5" fillId="6" borderId="2" applyAlignment="1" pivotButton="0" quotePrefix="0" xfId="0">
      <alignment vertical="center" wrapText="1"/>
    </xf>
    <xf numFmtId="10" fontId="5" fillId="7" borderId="2" applyAlignment="1" pivotButton="0" quotePrefix="0" xfId="0">
      <alignment vertical="center" wrapText="1"/>
    </xf>
    <xf numFmtId="169" fontId="5" fillId="6" borderId="2" applyAlignment="1" pivotButton="0" quotePrefix="0" xfId="0">
      <alignment vertical="center" wrapText="1"/>
    </xf>
    <xf numFmtId="10" fontId="16" fillId="6" borderId="2" applyAlignment="1" pivotButton="0" quotePrefix="0" xfId="0">
      <alignment vertical="center" wrapText="1"/>
    </xf>
    <xf numFmtId="169" fontId="16" fillId="7" borderId="2" applyAlignment="1" pivotButton="0" quotePrefix="0" xfId="0">
      <alignment vertical="center" wrapText="1"/>
    </xf>
    <xf numFmtId="0" fontId="4" fillId="5" borderId="0" applyAlignment="1" pivotButton="0" quotePrefix="0" xfId="0">
      <alignment vertical="center" wrapText="1"/>
    </xf>
    <xf numFmtId="0" fontId="11" fillId="0" borderId="0" applyAlignment="1" pivotButton="0" quotePrefix="0" xfId="1">
      <alignment horizontal="right"/>
    </xf>
    <xf numFmtId="0" fontId="10" fillId="3" borderId="0" applyAlignment="1" pivotButton="0" quotePrefix="0" xfId="0">
      <alignment vertical="center"/>
    </xf>
    <xf numFmtId="170" fontId="16" fillId="7" borderId="2" applyAlignment="1" pivotButton="0" quotePrefix="0" xfId="0">
      <alignment vertical="center" wrapText="1"/>
    </xf>
    <xf numFmtId="170" fontId="5" fillId="7" borderId="2" applyAlignment="1" pivotButton="0" quotePrefix="0" xfId="0">
      <alignment vertical="center" wrapText="1"/>
    </xf>
    <xf numFmtId="170" fontId="16" fillId="6" borderId="2" applyAlignment="1" pivotButton="0" quotePrefix="0" xfId="0">
      <alignment vertical="center" wrapText="1"/>
    </xf>
    <xf numFmtId="170" fontId="5" fillId="6" borderId="2" applyAlignment="1" pivotButton="0" quotePrefix="0" xfId="0">
      <alignment vertical="center" wrapText="1"/>
    </xf>
    <xf numFmtId="0" fontId="5" fillId="9" borderId="2" applyAlignment="1" pivotButton="0" quotePrefix="0" xfId="0">
      <alignment vertical="center" wrapText="1"/>
    </xf>
    <xf numFmtId="171" fontId="5" fillId="6" borderId="2" applyAlignment="1" pivotButton="0" quotePrefix="0" xfId="0">
      <alignment vertical="center" wrapText="1"/>
    </xf>
    <xf numFmtId="167" fontId="16" fillId="7" borderId="2" applyAlignment="1" pivotButton="0" quotePrefix="0" xfId="0">
      <alignment vertical="center" wrapText="1"/>
    </xf>
    <xf numFmtId="167" fontId="5" fillId="7" borderId="2" applyAlignment="1" pivotButton="0" quotePrefix="0" xfId="0">
      <alignment vertical="center" wrapText="1"/>
    </xf>
    <xf numFmtId="0" fontId="4" fillId="6" borderId="2" applyAlignment="1" pivotButton="0" quotePrefix="0" xfId="0">
      <alignment vertical="center" wrapText="1"/>
    </xf>
    <xf numFmtId="0" fontId="5" fillId="6" borderId="2" applyAlignment="1" pivotButton="0" quotePrefix="0" xfId="0">
      <alignment horizontal="center" vertical="center" wrapText="1"/>
    </xf>
    <xf numFmtId="0" fontId="4" fillId="7" borderId="2" applyAlignment="1" pivotButton="0" quotePrefix="0" xfId="0">
      <alignment vertical="center" wrapText="1"/>
    </xf>
    <xf numFmtId="170" fontId="16" fillId="7" borderId="2" applyAlignment="1" pivotButton="0" quotePrefix="0" xfId="0">
      <alignment horizontal="center" vertical="center" wrapText="1"/>
    </xf>
    <xf numFmtId="171" fontId="5" fillId="6" borderId="2" applyAlignment="1" pivotButton="0" quotePrefix="0" xfId="0">
      <alignment horizontal="center" vertical="center" wrapText="1"/>
    </xf>
    <xf numFmtId="171" fontId="5" fillId="7" borderId="2" applyAlignment="1" pivotButton="0" quotePrefix="0" xfId="0">
      <alignment horizontal="center" vertical="center" wrapText="1"/>
    </xf>
    <xf numFmtId="171" fontId="16" fillId="6" borderId="2" applyAlignment="1" pivotButton="0" quotePrefix="0" xfId="0">
      <alignment horizontal="center" vertical="center" wrapText="1"/>
    </xf>
    <xf numFmtId="0" fontId="18" fillId="5" borderId="0" applyProtection="1" pivotButton="0" quotePrefix="0" xfId="0">
      <protection locked="0" hidden="0"/>
    </xf>
    <xf numFmtId="0" fontId="16" fillId="5" borderId="0" pivotButton="0" quotePrefix="0" xfId="0"/>
    <xf numFmtId="0" fontId="6" fillId="0" borderId="0" pivotButton="0" quotePrefix="0" xfId="0"/>
    <xf numFmtId="171" fontId="16" fillId="5" borderId="2" applyAlignment="1" applyProtection="1" pivotButton="0" quotePrefix="0" xfId="0">
      <alignment vertical="center" wrapText="1"/>
      <protection locked="0" hidden="0"/>
    </xf>
    <xf numFmtId="171" fontId="5" fillId="9" borderId="2" applyAlignment="1" pivotButton="0" quotePrefix="0" xfId="0">
      <alignment vertical="center" wrapText="1"/>
    </xf>
    <xf numFmtId="170" fontId="16" fillId="5" borderId="2" applyAlignment="1" applyProtection="1" pivotButton="0" quotePrefix="0" xfId="0">
      <alignment vertical="center" wrapText="1"/>
      <protection locked="0" hidden="0"/>
    </xf>
    <xf numFmtId="170" fontId="5" fillId="9" borderId="2" applyAlignment="1" pivotButton="0" quotePrefix="0" xfId="0">
      <alignment vertical="center" wrapText="1"/>
    </xf>
    <xf numFmtId="172" fontId="16" fillId="5" borderId="2" applyAlignment="1" applyProtection="1" pivotButton="0" quotePrefix="0" xfId="0">
      <alignment vertical="center" wrapText="1"/>
      <protection locked="0" hidden="0"/>
    </xf>
    <xf numFmtId="172" fontId="5" fillId="9" borderId="2" applyAlignment="1" pivotButton="0" quotePrefix="0" xfId="0">
      <alignment vertical="center" wrapText="1"/>
    </xf>
    <xf numFmtId="168" fontId="16" fillId="5" borderId="2" applyAlignment="1" applyProtection="1" pivotButton="0" quotePrefix="0" xfId="0">
      <alignment vertical="center" wrapText="1"/>
      <protection locked="0" hidden="0"/>
    </xf>
    <xf numFmtId="168" fontId="5" fillId="9" borderId="2" applyAlignment="1" pivotButton="0" quotePrefix="0" xfId="0">
      <alignment vertical="center" wrapText="1"/>
    </xf>
    <xf numFmtId="0" fontId="19" fillId="0" borderId="2" pivotButton="0" quotePrefix="0" xfId="0"/>
    <xf numFmtId="0" fontId="20" fillId="6" borderId="2" applyAlignment="1" pivotButton="0" quotePrefix="0" xfId="0">
      <alignment vertical="center" wrapText="1"/>
    </xf>
    <xf numFmtId="170" fontId="20" fillId="7" borderId="2" applyAlignment="1" pivotButton="0" quotePrefix="0" xfId="0">
      <alignment horizontal="center" vertical="center" wrapText="1"/>
    </xf>
    <xf numFmtId="171" fontId="20" fillId="7" borderId="2" applyAlignment="1" pivotButton="0" quotePrefix="0" xfId="0">
      <alignment vertical="center" wrapText="1"/>
    </xf>
    <xf numFmtId="171" fontId="20" fillId="6" borderId="2" applyAlignment="1" pivotButton="0" quotePrefix="0" xfId="0">
      <alignment horizontal="center" vertical="center" wrapText="1"/>
    </xf>
    <xf numFmtId="171" fontId="20" fillId="6" borderId="2" applyAlignment="1" pivotButton="0" quotePrefix="0" xfId="0">
      <alignment vertical="center" wrapText="1"/>
    </xf>
    <xf numFmtId="0" fontId="4" fillId="0" borderId="2" pivotButton="0" quotePrefix="0" xfId="0"/>
    <xf numFmtId="170" fontId="5" fillId="7" borderId="2" applyAlignment="1" pivotButton="0" quotePrefix="0" xfId="0">
      <alignment horizontal="center" vertical="center" wrapText="1"/>
    </xf>
    <xf numFmtId="171" fontId="20" fillId="7" borderId="2" applyAlignment="1" pivotButton="0" quotePrefix="0" xfId="0">
      <alignment horizontal="center" vertical="center" wrapText="1"/>
    </xf>
    <xf numFmtId="170" fontId="20" fillId="6" borderId="2" applyAlignment="1" pivotButton="0" quotePrefix="0" xfId="0">
      <alignment horizontal="center" vertical="center" wrapText="1"/>
    </xf>
    <xf numFmtId="170" fontId="5" fillId="6" borderId="2" applyAlignment="1" pivotButton="0" quotePrefix="0" xfId="0">
      <alignment horizontal="center" vertical="center" wrapText="1"/>
    </xf>
    <xf numFmtId="170" fontId="20" fillId="6" borderId="2" applyAlignment="1" pivotButton="0" quotePrefix="0" xfId="0">
      <alignment vertical="center" wrapText="1"/>
    </xf>
    <xf numFmtId="170" fontId="20" fillId="7" borderId="2" applyAlignment="1" pivotButton="0" quotePrefix="0" xfId="0">
      <alignment vertical="center" wrapText="1"/>
    </xf>
    <xf numFmtId="172" fontId="5" fillId="7" borderId="2" applyAlignment="1" pivotButton="0" quotePrefix="0" xfId="0">
      <alignment horizontal="center" vertical="center" wrapText="1"/>
    </xf>
    <xf numFmtId="168" fontId="20" fillId="7" borderId="2" applyAlignment="1" pivotButton="0" quotePrefix="0" xfId="0">
      <alignment vertical="center" wrapText="1"/>
    </xf>
    <xf numFmtId="167" fontId="5" fillId="6" borderId="2" applyAlignment="1" pivotButton="0" quotePrefix="0" xfId="0">
      <alignment vertical="center" wrapText="1"/>
    </xf>
    <xf numFmtId="167" fontId="20" fillId="7" borderId="2" applyAlignment="1" pivotButton="0" quotePrefix="0" xfId="0">
      <alignment vertical="center" wrapText="1"/>
    </xf>
    <xf numFmtId="0" fontId="4" fillId="5" borderId="2" applyAlignment="1" pivotButton="0" quotePrefix="0" xfId="0">
      <alignment vertical="center" wrapText="1"/>
    </xf>
    <xf numFmtId="0" fontId="5" fillId="5" borderId="2" applyAlignment="1" pivotButton="0" quotePrefix="0" xfId="0">
      <alignment vertical="center" wrapText="1"/>
    </xf>
    <xf numFmtId="172" fontId="5" fillId="6" borderId="2" applyAlignment="1" pivotButton="0" quotePrefix="0" xfId="0">
      <alignment vertical="center" wrapText="1"/>
    </xf>
    <xf numFmtId="172" fontId="20" fillId="7" borderId="2" applyAlignment="1" pivotButton="0" quotePrefix="0" xfId="0">
      <alignment vertical="center" wrapText="1"/>
    </xf>
    <xf numFmtId="172" fontId="20" fillId="6" borderId="2" applyAlignment="1" pivotButton="0" quotePrefix="0" xfId="0">
      <alignment vertical="center" wrapText="1"/>
    </xf>
    <xf numFmtId="172" fontId="5" fillId="7" borderId="2" applyAlignment="1" pivotButton="0" quotePrefix="0" xfId="0">
      <alignment vertical="center" wrapText="1"/>
    </xf>
    <xf numFmtId="171" fontId="5" fillId="7" borderId="2" applyAlignment="1" pivotButton="0" quotePrefix="0" xfId="0">
      <alignment vertical="center" wrapText="1"/>
    </xf>
    <xf numFmtId="0" fontId="10" fillId="3" borderId="0" applyAlignment="1" pivotButton="0" quotePrefix="0" xfId="0">
      <alignment horizontal="center" vertical="center"/>
    </xf>
    <xf numFmtId="170" fontId="5" fillId="5" borderId="2" applyAlignment="1" pivotButton="0" quotePrefix="0" xfId="0">
      <alignment vertical="center" wrapText="1"/>
    </xf>
    <xf numFmtId="0" fontId="4" fillId="4" borderId="0" applyAlignment="1" pivotButton="0" quotePrefix="0" xfId="0">
      <alignment vertical="center" wrapText="1"/>
    </xf>
    <xf numFmtId="171" fontId="20" fillId="6" borderId="2" pivotButton="0" quotePrefix="0" xfId="0"/>
    <xf numFmtId="0" fontId="6" fillId="0" borderId="0" applyAlignment="1" pivotButton="0" quotePrefix="0" xfId="0">
      <alignment wrapText="1"/>
    </xf>
    <xf numFmtId="171" fontId="20" fillId="7" borderId="2" pivotButton="0" quotePrefix="0" xfId="0"/>
    <xf numFmtId="170" fontId="5" fillId="7" borderId="2" pivotButton="0" quotePrefix="0" xfId="0"/>
    <xf numFmtId="171" fontId="5" fillId="6" borderId="2" pivotButton="0" quotePrefix="0" xfId="0"/>
    <xf numFmtId="170" fontId="5" fillId="6" borderId="2" pivotButton="0" quotePrefix="0" xfId="0"/>
    <xf numFmtId="167" fontId="5" fillId="6" borderId="2" pivotButton="0" quotePrefix="0" xfId="0"/>
    <xf numFmtId="167" fontId="20" fillId="7" borderId="2" pivotButton="0" quotePrefix="0" xfId="0"/>
    <xf numFmtId="0" fontId="3" fillId="3" borderId="0" applyAlignment="1" pivotButton="0" quotePrefix="0" xfId="0">
      <alignment horizontal="center"/>
    </xf>
    <xf numFmtId="0" fontId="19" fillId="0" borderId="0" pivotButton="0" quotePrefix="0" xfId="0"/>
    <xf numFmtId="170" fontId="20" fillId="7" borderId="2" applyAlignment="1" pivotButton="0" quotePrefix="0" xfId="0">
      <alignment horizontal="center" vertical="center"/>
    </xf>
    <xf numFmtId="171" fontId="20" fillId="6" borderId="2" applyAlignment="1" pivotButton="0" quotePrefix="0" xfId="0">
      <alignment horizontal="center" vertical="center"/>
    </xf>
    <xf numFmtId="170" fontId="5" fillId="7" borderId="2" applyAlignment="1" pivotButton="0" quotePrefix="0" xfId="0">
      <alignment horizontal="center" vertical="center"/>
    </xf>
    <xf numFmtId="170" fontId="20" fillId="6" borderId="2" applyAlignment="1" pivotButton="0" quotePrefix="0" xfId="0">
      <alignment horizontal="center" vertical="center"/>
    </xf>
    <xf numFmtId="170" fontId="5" fillId="6" borderId="2" applyAlignment="1" pivotButton="0" quotePrefix="0" xfId="0">
      <alignment horizontal="center" vertical="center"/>
    </xf>
    <xf numFmtId="172" fontId="0" fillId="7" borderId="2" applyAlignment="1" pivotButton="0" quotePrefix="0" xfId="0">
      <alignment horizontal="center" vertical="center"/>
    </xf>
    <xf numFmtId="170" fontId="0" fillId="7" borderId="2" applyAlignment="1" pivotButton="0" quotePrefix="0" xfId="0">
      <alignment horizontal="center" vertical="center"/>
    </xf>
    <xf numFmtId="170" fontId="0" fillId="6" borderId="2" applyAlignment="1" pivotButton="0" quotePrefix="0" xfId="0">
      <alignment horizontal="center" vertical="center"/>
    </xf>
    <xf numFmtId="167" fontId="0" fillId="6" borderId="2" applyAlignment="1" pivotButton="0" quotePrefix="0" xfId="0">
      <alignment horizontal="center" vertical="center"/>
    </xf>
    <xf numFmtId="167" fontId="20" fillId="6" borderId="2" applyAlignment="1" pivotButton="0" quotePrefix="0" xfId="0">
      <alignment horizontal="center" vertical="center"/>
    </xf>
    <xf numFmtId="171" fontId="0" fillId="0" borderId="0" pivotButton="0" quotePrefix="0" xfId="0"/>
    <xf numFmtId="167" fontId="0" fillId="0" borderId="0" applyAlignment="1" pivotButton="0" quotePrefix="0" xfId="0">
      <alignment horizontal="center"/>
    </xf>
    <xf numFmtId="172" fontId="0" fillId="0" borderId="0" pivotButton="0" quotePrefix="0" xfId="0"/>
    <xf numFmtId="0" fontId="3" fillId="2" borderId="0" pivotButton="0" quotePrefix="0" xfId="0"/>
    <xf numFmtId="0" fontId="21" fillId="6" borderId="2" applyAlignment="1" pivotButton="0" quotePrefix="0" xfId="0">
      <alignment vertical="center" wrapText="1"/>
    </xf>
    <xf numFmtId="169" fontId="20" fillId="6" borderId="2" applyAlignment="1" pivotButton="0" quotePrefix="0" xfId="0">
      <alignment vertical="center" wrapText="1"/>
    </xf>
    <xf numFmtId="0" fontId="8" fillId="6" borderId="2" applyAlignment="1" pivotButton="0" quotePrefix="0" xfId="0">
      <alignment vertical="center" wrapText="1"/>
    </xf>
    <xf numFmtId="0" fontId="4" fillId="7" borderId="0" applyAlignment="1" pivotButton="0" quotePrefix="0" xfId="0">
      <alignment wrapText="1"/>
    </xf>
    <xf numFmtId="0" fontId="8" fillId="4" borderId="0" applyAlignment="1" pivotButton="0" quotePrefix="0" xfId="0">
      <alignment wrapText="1"/>
    </xf>
    <xf numFmtId="0" fontId="21" fillId="7" borderId="2" applyAlignment="1" pivotButton="0" quotePrefix="0" xfId="0">
      <alignment vertical="center" wrapText="1"/>
    </xf>
    <xf numFmtId="169" fontId="20" fillId="7" borderId="2" applyAlignment="1" pivotButton="0" quotePrefix="0" xfId="0">
      <alignment vertical="center" wrapText="1"/>
    </xf>
    <xf numFmtId="0" fontId="8" fillId="7" borderId="2" applyAlignment="1" pivotButton="0" quotePrefix="0" xfId="0">
      <alignment vertical="center" wrapText="1"/>
    </xf>
    <xf numFmtId="0" fontId="8" fillId="5" borderId="0" applyAlignment="1" pivotButton="0" quotePrefix="0" xfId="0">
      <alignment wrapText="1"/>
    </xf>
    <xf numFmtId="0" fontId="22" fillId="7" borderId="2" applyAlignment="1" pivotButton="0" quotePrefix="0" xfId="0">
      <alignment vertical="center" wrapText="1"/>
    </xf>
    <xf numFmtId="0" fontId="22" fillId="6" borderId="2" applyAlignment="1" pivotButton="0" quotePrefix="0" xfId="0">
      <alignment vertical="center" wrapText="1"/>
    </xf>
  </cellXfs>
  <cellStyles count="2">
    <cellStyle name="Normal" xfId="0" builtinId="0" hidden="0"/>
    <cellStyle name="Hyperlink" xfId="1" builtinId="8" hidden="0"/>
  </cellStyles>
  <dxfs count="3">
    <dxf>
      <fill>
        <patternFill patternType="solid">
          <fgColor rgb="00E2F0D9"/>
        </patternFill>
      </fill>
    </dxf>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Q1 operating snapshot</a:t>
            </a:r>
          </a:p>
        </rich>
      </tx>
    </title>
    <plotArea>
      <barChart>
        <barDir val="col"/>
        <grouping val="clustered"/>
        <ser>
          <idx val="0"/>
          <order val="0"/>
          <tx>
            <strRef>
              <f>'Q1_Actuals'!M2</f>
            </strRef>
          </tx>
          <spPr>
            <a:ln xmlns:a="http://schemas.openxmlformats.org/drawingml/2006/main">
              <a:prstDash val="solid"/>
            </a:ln>
          </spPr>
          <cat>
            <numRef>
              <f>'Q1_Actuals'!$L$3:$L$5</f>
            </numRef>
          </cat>
          <val>
            <numRef>
              <f>'Q1_Actuals'!$M$3:$M$5</f>
            </numRef>
          </val>
        </ser>
        <ser>
          <idx val="1"/>
          <order val="1"/>
          <tx>
            <strRef>
              <f>'Q1_Actuals'!N2</f>
            </strRef>
          </tx>
          <spPr>
            <a:ln xmlns:a="http://schemas.openxmlformats.org/drawingml/2006/main">
              <a:prstDash val="solid"/>
            </a:ln>
          </spPr>
          <cat>
            <numRef>
              <f>'Q1_Actuals'!$L$3:$L$5</f>
            </numRef>
          </cat>
          <val>
            <numRef>
              <f>'Q1_Actuals'!$N$3:$N$5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Company outlook: revenue and NPAT</a:t>
            </a:r>
          </a:p>
        </rich>
      </tx>
    </title>
    <plotArea>
      <lineChart>
        <grouping val="standard"/>
        <ser>
          <idx val="0"/>
          <order val="0"/>
          <tx>
            <strRef>
              <f>'Mgmt_Forecast'!B6</f>
            </strRef>
          </tx>
          <spPr>
            <a:ln xmlns:a="http://schemas.openxmlformats.org/drawingml/2006/main">
              <a:prstDash val="solid"/>
            </a:ln>
          </spPr>
          <marker>
            <symbol val="none"/>
            <spPr>
              <a:ln xmlns:a="http://schemas.openxmlformats.org/drawingml/2006/main">
                <a:prstDash val="solid"/>
              </a:ln>
            </spPr>
          </marker>
          <cat>
            <numRef>
              <f>'Mgmt_Forecast'!$C$4:$H$4</f>
            </numRef>
          </cat>
          <val>
            <numRef>
              <f>'Mgmt_Forecast'!$C$6:$H$6</f>
            </numRef>
          </val>
        </ser>
        <ser>
          <idx val="1"/>
          <order val="1"/>
          <tx>
            <strRef>
              <f>'Mgmt_Forecast'!B8</f>
            </strRef>
          </tx>
          <spPr>
            <a:ln xmlns:a="http://schemas.openxmlformats.org/drawingml/2006/main">
              <a:prstDash val="solid"/>
            </a:ln>
          </spPr>
          <marker>
            <symbol val="none"/>
            <spPr>
              <a:ln xmlns:a="http://schemas.openxmlformats.org/drawingml/2006/main">
                <a:prstDash val="solid"/>
              </a:ln>
            </spPr>
          </marker>
          <cat>
            <numRef>
              <f>'Mgmt_Forecast'!$C$4:$H$4</f>
            </numRef>
          </cat>
          <val>
            <numRef>
              <f>'Mgmt_Forecast'!$C$8:$H$8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Illustrative scenario value / share</a:t>
            </a:r>
          </a:p>
        </rich>
      </tx>
    </title>
    <plotArea>
      <barChart>
        <barDir val="col"/>
        <grouping val="clustered"/>
        <ser>
          <idx val="0"/>
          <order val="0"/>
          <tx>
            <strRef>
              <f>'Scenarios'!A13</f>
            </strRef>
          </tx>
          <spPr>
            <a:ln xmlns:a="http://schemas.openxmlformats.org/drawingml/2006/main">
              <a:prstDash val="solid"/>
            </a:ln>
          </spPr>
          <cat>
            <numRef>
              <f>'Scenarios'!$B$4:$D$4</f>
            </numRef>
          </cat>
          <val>
            <numRef>
              <f>'Scenarios'!$B$13:$D$13</f>
            </numRef>
          </val>
        </ser>
        <ser>
          <idx val="1"/>
          <order val="1"/>
          <tx>
            <strRef>
              <f>'Scenarios'!A14</f>
            </strRef>
          </tx>
          <spPr>
            <a:ln xmlns:a="http://schemas.openxmlformats.org/drawingml/2006/main">
              <a:prstDash val="solid"/>
            </a:ln>
          </spPr>
          <cat>
            <numRef>
              <f>'Scenarios'!$B$4:$D$4</f>
            </numRef>
          </cat>
          <val>
            <numRef>
              <f>'Scenarios'!$B$14:$D$14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VND/share</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MWG-DMX portfolio model</author>
  </authors>
  <commentList>
    <comment ref="H11" authorId="0" shapeId="0">
      <text>
        <t>Active Annual adjustment to management revenue growth. Status: Illustrative. Applied to the growth rate, not directly to revenue output</t>
      </text>
    </comment>
    <comment ref="H12" authorId="0" shapeId="0">
      <text>
        <t>Active EBIT margin in 2026E. Status: Illustrative. FCFF EBIT is independent from company NPAT outlook</t>
      </text>
    </comment>
    <comment ref="H13" authorId="0" shapeId="0">
      <text>
        <t>Active Annual EBIT margin step. Status: Illustrative. Linear step from the 2026E margin</t>
      </text>
    </comment>
    <comment ref="H14" authorId="0" shapeId="0">
      <text>
        <t>Active Cash tax rate. Status: Illustrative. Vietnam corporate-tax simplification; replace with modelled cash tax</t>
      </text>
    </comment>
    <comment ref="H15" authorId="0" shapeId="0">
      <text>
        <t>Active D&amp;A as % of revenue. Status: Illustrative. Required to bridge EBIT to FCFF</t>
      </text>
    </comment>
    <comment ref="H16" authorId="0" shapeId="0">
      <text>
        <t>Active Capex as % of revenue. Status: Illustrative. Maintenance and growth capex combined</t>
      </text>
    </comment>
    <comment ref="H17" authorId="0" shapeId="0">
      <text>
        <t>Active Cash investment in NWC as % of revenue increase. Status: Illustrative. Positive value is a cash outflow</t>
      </text>
    </comment>
    <comment ref="H18" authorId="0" shapeId="0">
      <text>
        <t>Active Nominal VND WACC. Status: Illustrative. Market inputs are not populated; sensitivity is mandatory</t>
      </text>
    </comment>
    <comment ref="H19" authorId="0" shapeId="0">
      <text>
        <t>Active Terminal growth. Status: Illustrative. Must remain below WACC</t>
      </text>
    </comment>
    <comment ref="H20" authorId="0" shapeId="0">
      <text>
        <t>Active Fair value of DMX stake in EraBlue. Status: Illustrative. Added once because FCFF EBIT excludes JV earnings</t>
      </text>
    </comment>
    <comment ref="H21" authorId="0" shapeId="0">
      <text>
        <t>Active Lease liabilities in equity bridge. Status: Illustrative placeholder. Replace after verifying the chosen lease convention</t>
      </text>
    </comment>
    <comment ref="H22" authorId="0" shapeId="0">
      <text>
        <t>Active Other claims in equity bridge. Status: Illustrative placeholder. No unsupported claim is inserted</t>
      </text>
    </comment>
    <comment ref="H23" authorId="0" shapeId="0">
      <text>
        <t>Active MWG effective ownership of DMX. Status: Illustrative proxy. Rounded disclosure only; exact shares required for production</t>
      </text>
    </comment>
    <comment ref="H24" authorId="0" shapeId="0">
      <text>
        <t>Active BHX reference revenue. Status: Illustrative. Portfolio model placeholder</t>
      </text>
    </comment>
    <comment ref="H25" authorId="0" shapeId="0">
      <text>
        <t>Active BHX EV / Sales. Status: Illustrative. Comparable analysis not yet populated</t>
      </text>
    </comment>
    <comment ref="H26" authorId="0" shapeId="0">
      <text>
        <t>Active BHX net debt. Status: Illustrative. Subsidiary-level bridge only</t>
      </text>
    </comment>
    <comment ref="H27" authorId="0" shapeId="0">
      <text>
        <t>Active MWG ownership of BHX. Status: Illustrative. Replace with exact effective ownership</t>
      </text>
    </comment>
    <comment ref="H28" authorId="0" shapeId="0">
      <text>
        <t>Active An Khang reference revenue. Status: Illustrative. Portfolio model placeholder</t>
      </text>
    </comment>
    <comment ref="H29" authorId="0" shapeId="0">
      <text>
        <t>Active An Khang EV / Sales. Status: Illustrative. Loss-making / early-stage range</t>
      </text>
    </comment>
    <comment ref="H30" authorId="0" shapeId="0">
      <text>
        <t>Active An Khang net debt. Status: Illustrative. Subsidiary-level bridge only</t>
      </text>
    </comment>
    <comment ref="H31" authorId="0" shapeId="0">
      <text>
        <t>Active MWG ownership of An Khang. Status: Illustrative. Replace with exact effective ownership</t>
      </text>
    </comment>
    <comment ref="H32" authorId="0" shapeId="0">
      <text>
        <t>Active AVAKids reference revenue. Status: Illustrative. Portfolio model placeholder</t>
      </text>
    </comment>
    <comment ref="H33" authorId="0" shapeId="0">
      <text>
        <t>Active AVAKids EV / Sales. Status: Illustrative. Early-stage range</t>
      </text>
    </comment>
    <comment ref="H34" authorId="0" shapeId="0">
      <text>
        <t>Active AVAKids net debt. Status: Illustrative. Subsidiary-level bridge only</t>
      </text>
    </comment>
    <comment ref="H35" authorId="0" shapeId="0">
      <text>
        <t>Active MWG ownership of AVAKids. Status: Illustrative. Replace with exact effective ownership</t>
      </text>
    </comment>
    <comment ref="H36" authorId="0" shapeId="0">
      <text>
        <t>Active Other investments. Status: Illustrative. Equity value, no separate net-debt adjustment</t>
      </text>
    </comment>
    <comment ref="H37" authorId="0" shapeId="0">
      <text>
        <t>Active Parent non-operating assets. Status: Illustrative placeholder. Avoids unsupported double count</t>
      </text>
    </comment>
    <comment ref="H38" authorId="0" shapeId="0">
      <text>
        <t>Active Parent-only net debt. Status: Illustrative. Must not use consolidated debt after valuing subs at equity</t>
      </text>
    </comment>
    <comment ref="H39" authorId="0" shapeId="0">
      <text>
        <t>Active Parent provisions / other claims. Status: Illustrative. Separate parent claims</t>
      </text>
    </comment>
    <comment ref="H40" authorId="0" shapeId="0">
      <text>
        <t>Active Holding-company discount. Status: Illustrative. Sensitivity, not a plug to a target price</t>
      </text>
    </comment>
    <comment ref="H41" authorId="0" shapeId="0">
      <text>
        <t>Active MWG diluted shares. Status: Illustrative placeholder. Replace with verified diluted shares at valuation date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11</col>
      <colOff>0</colOff>
      <row>6</row>
      <rowOff>0</rowOff>
    </from>
    <ext cx="486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18</row>
      <rowOff>0</rowOff>
    </from>
    <ext cx="558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3</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ources'!A1" TargetMode="External" Id="rId1"/><Relationship Type="http://schemas.openxmlformats.org/officeDocument/2006/relationships/hyperlink" Target="#'IPO_Bridge'!A1" TargetMode="External" Id="rId2"/><Relationship Type="http://schemas.openxmlformats.org/officeDocument/2006/relationships/hyperlink" Target="#'Q1_Actuals'!A1" TargetMode="External" Id="rId3"/><Relationship Type="http://schemas.openxmlformats.org/officeDocument/2006/relationships/hyperlink" Target="#'Mgmt_Forecast'!A1" TargetMode="External" Id="rId4"/><Relationship Type="http://schemas.openxmlformats.org/officeDocument/2006/relationships/hyperlink" Target="#'Assumptions'!A1" TargetMode="External" Id="rId5"/><Relationship Type="http://schemas.openxmlformats.org/officeDocument/2006/relationships/hyperlink" Target="#'DMX_Valuation'!A1" TargetMode="External" Id="rId6"/><Relationship Type="http://schemas.openxmlformats.org/officeDocument/2006/relationships/hyperlink" Target="#'MWG_SOTP'!A1" TargetMode="External" Id="rId7"/><Relationship Type="http://schemas.openxmlformats.org/officeDocument/2006/relationships/hyperlink" Target="#'Scenarios'!A1" TargetMode="External" Id="rId8"/><Relationship Type="http://schemas.openxmlformats.org/officeDocument/2006/relationships/hyperlink" Target="#'Checks'!A1" TargetMode="External" Id="rId9"/></Relationships>
</file>

<file path=xl/worksheets/_rels/sheet2.xml.rels><Relationships xmlns="http://schemas.openxmlformats.org/package/2006/relationships"><Relationship Type="http://schemas.openxmlformats.org/officeDocument/2006/relationships/hyperlink" Target="https://cdnv2-tmdt.tgdd.vn/mwgvn/investorrelations/files/posts/2026/5/5005818/d8/6b/d86b5d707c2c0b5baea9dbcffafaaa50.pdf" TargetMode="External" Id="rId1"/><Relationship Type="http://schemas.openxmlformats.org/officeDocument/2006/relationships/hyperlink" Target="https://cdnv2-tmdt.tgdd.vn/mwgvn/investorrelations/files/posts/2026/7/0/f1/08/f108ca2a7399d9a70674915a4b2cf651.pdf" TargetMode="External" Id="rId2"/><Relationship Type="http://schemas.openxmlformats.org/officeDocument/2006/relationships/hyperlink" Target="https://www.dmx.vn/eng/news/dien-may-xanh-completes-landmark-ipo-raising-more-than-vnd-13-315-billion-and-lifting-charter-capital-to-vnd-12-677-billion-5002485" TargetMode="External" Id="rId3"/><Relationship Type="http://schemas.openxmlformats.org/officeDocument/2006/relationships/hyperlink" Target="https://cdnv2-tmdt.tgdd.vn/mwgvn/investorrelations/files/posts/2026/6/0/6b/e5/6be50a510e272451464dae07771401ca.xlsx" TargetMode="External" Id="rId4"/><Relationship Type="http://schemas.openxmlformats.org/officeDocument/2006/relationships/hyperlink" Target="https://cdnv2-tmdt.tgdd.vn/mwgvn/investorrelations/files/posts/2026/7/5006021/b5/ee/b5ee17c283b469b12b3b435d00da8aa4.pdf" TargetMode="External" Id="rId5"/><Relationship Type="http://schemas.openxmlformats.org/officeDocument/2006/relationships/hyperlink" Target="https://cdnv2-tmdt.tgdd.vn/mwgvn/investorrelations/files/posts/2026/6/5005889/4a/f4/4af4a4152a74661a28063a23b4d6747f.pdf" TargetMode="External" Id="rId6"/><Relationship Type="http://schemas.openxmlformats.org/officeDocument/2006/relationships/hyperlink" Target="https://cdnv2.tgdd.vn/mwgvn/investorrelations/files/posts/2026/3/5677/48/8a/488ab752e1224bcbd9dd5413be04179f.pdf" TargetMode="External" Id="rId7"/><Relationship Type="http://schemas.openxmlformats.org/officeDocument/2006/relationships/hyperlink" Target="https://mwg.vn/tin-tuc/erablue-buoc-chuyen-minh-cua-the-gioi-di-dong-o-quoc-gia-dong-dan-nhat-asean-179" TargetMode="External" Id="rId8"/></Relationships>
</file>

<file path=xl/worksheets/_rels/sheet4.xml.rels><Relationships xmlns="http://schemas.openxmlformats.org/package/2006/relationships"><Relationship Type="http://schemas.openxmlformats.org/officeDocument/2006/relationships/hyperlink" Target="#'Cover'!B2" TargetMode="External" Id="rId1"/><Relationship Type="http://schemas.openxmlformats.org/officeDocument/2006/relationships/drawing" Target="/xl/drawings/drawing1.xml" Id="rId2"/></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B1F3A"/>
    <outlinePr summaryBelow="1" summaryRight="1"/>
    <pageSetUpPr fitToPage="1"/>
  </sheetPr>
  <dimension ref="A2:J41"/>
  <sheetViews>
    <sheetView showGridLines="0" zoomScale="95" workbookViewId="0">
      <selection activeCell="A1" sqref="A1"/>
    </sheetView>
  </sheetViews>
  <sheetFormatPr baseColWidth="8" defaultRowHeight="15"/>
  <cols>
    <col width="4" customWidth="1" min="1" max="1"/>
    <col width="23" customWidth="1" min="2" max="2"/>
    <col width="20" customWidth="1" min="3" max="3"/>
    <col width="18" customWidth="1" min="4" max="4"/>
    <col width="4" customWidth="1" min="5" max="5"/>
    <col width="4" customWidth="1" min="6" max="6"/>
    <col width="24" customWidth="1" min="7" max="7"/>
    <col width="24" customWidth="1" min="8" max="8"/>
    <col width="22" customWidth="1" min="9" max="9"/>
    <col width="22" customWidth="1" min="10" max="10"/>
  </cols>
  <sheetData>
    <row r="2" ht="34" customHeight="1">
      <c r="A2" s="1" t="n"/>
      <c r="B2" s="2" t="inlineStr">
        <is>
          <t>MWG AFTER THE DMX IPO</t>
        </is>
      </c>
      <c r="J2" s="1" t="n"/>
    </row>
    <row r="3" ht="28" customHeight="1">
      <c r="A3" s="1" t="n"/>
      <c r="J3" s="1" t="n"/>
    </row>
    <row r="4">
      <c r="A4" s="1" t="n"/>
      <c r="B4" s="3" t="inlineStr">
        <is>
          <t>IPO bridge · DMX FCFF DCF · MWG sum-of-the-parts · scenario &amp; QA model</t>
        </is>
      </c>
      <c r="J4" s="4" t="n"/>
    </row>
    <row r="5">
      <c r="A5" s="1" t="n"/>
      <c r="J5" s="4" t="n"/>
    </row>
    <row r="8" ht="21" customHeight="1">
      <c r="B8" s="5" t="inlineStr">
        <is>
          <t>MODEL CONTROL &amp; PUBLICATION STATUS</t>
        </is>
      </c>
    </row>
    <row r="9" ht="22" customHeight="1">
      <c r="B9" s="6" t="inlineStr">
        <is>
          <t>Model version</t>
        </is>
      </c>
      <c r="C9" s="7" t="inlineStr">
        <is>
          <t>1.0.0</t>
        </is>
      </c>
      <c r="G9" s="8" t="inlineStr">
        <is>
          <t>Formula and workbook architecture version</t>
        </is>
      </c>
    </row>
    <row r="10" ht="22" customHeight="1">
      <c r="B10" s="6" t="inlineStr">
        <is>
          <t>Data cut-off</t>
        </is>
      </c>
      <c r="C10" s="9" t="n">
        <v>46216</v>
      </c>
      <c r="G10" s="8" t="inlineStr">
        <is>
          <t>Official facts known at this date</t>
        </is>
      </c>
    </row>
    <row r="11" ht="22" customHeight="1">
      <c r="B11" s="6" t="inlineStr">
        <is>
          <t>Generated at</t>
        </is>
      </c>
      <c r="C11" s="9" t="n">
        <v>46216.80715277778</v>
      </c>
      <c r="G11" s="8" t="inlineStr">
        <is>
          <t>Local build timestamp</t>
        </is>
      </c>
    </row>
    <row r="12" ht="22" customHeight="1">
      <c r="B12" s="6" t="inlineStr">
        <is>
          <t>Active scenario</t>
        </is>
      </c>
      <c r="C12" s="10">
        <f>Assumptions!$C$4</f>
        <v/>
      </c>
      <c r="G12" s="8" t="inlineStr">
        <is>
          <t>Bear / Base / Bull selector</t>
        </is>
      </c>
    </row>
    <row r="13" ht="22" customHeight="1">
      <c r="B13" s="6" t="inlineStr">
        <is>
          <t>Display unit</t>
        </is>
      </c>
      <c r="C13" s="7" t="inlineStr">
        <is>
          <t>VND bn unless stated</t>
        </is>
      </c>
      <c r="G13" s="8" t="inlineStr">
        <is>
          <t>Share count in million; price in VND/share</t>
        </is>
      </c>
    </row>
    <row r="14" ht="22" customHeight="1">
      <c r="B14" s="6" t="inlineStr">
        <is>
          <t>Valuation date</t>
        </is>
      </c>
      <c r="C14" s="7" t="inlineStr">
        <is>
          <t>N/A</t>
        </is>
      </c>
      <c r="G14" s="8" t="inlineStr">
        <is>
          <t>No same-date market price supplied</t>
        </is>
      </c>
    </row>
    <row r="15" ht="22" customHeight="1">
      <c r="B15" s="6" t="inlineStr">
        <is>
          <t>Market conclusion</t>
        </is>
      </c>
      <c r="C15" s="11" t="inlineStr">
        <is>
          <t>UNAVAILABLE</t>
        </is>
      </c>
      <c r="G15" s="8" t="inlineStr">
        <is>
          <t>Guarded until price, price date and diluted shares are verified</t>
        </is>
      </c>
    </row>
    <row r="18" ht="21" customHeight="1">
      <c r="B18" s="5" t="inlineStr">
        <is>
          <t>WHAT THIS MODEL ANSWERS</t>
        </is>
      </c>
    </row>
    <row r="19" ht="24" customHeight="1">
      <c r="B19" s="12" t="inlineStr">
        <is>
          <t>1. How did the actual IPO change DMX shares and primary capital raised?</t>
        </is>
      </c>
    </row>
    <row r="20" ht="24" customHeight="1">
      <c r="B20" s="13" t="inlineStr">
        <is>
          <t>2. What does an illustrative FCFF DCF imply for 100% of DMX under transparent drivers?</t>
        </is>
      </c>
    </row>
    <row r="21" ht="24" customHeight="1">
      <c r="B21" s="12" t="inlineStr">
        <is>
          <t>3. How much of DMX's value is attributable to MWG using an explicitly labelled ownership proxy?</t>
        </is>
      </c>
    </row>
    <row r="22" ht="24" customHeight="1">
      <c r="B22" s="13" t="inlineStr">
        <is>
          <t>4. What illustrative residual value is assigned to BHX and other MWG assets in a SOTP?</t>
        </is>
      </c>
    </row>
    <row r="23" ht="24" customHeight="1">
      <c r="B23" s="12" t="inlineStr">
        <is>
          <t>5. Which assumptions drive the range, and which QA gates prevent an unsupported conclusion?</t>
        </is>
      </c>
    </row>
    <row r="26" ht="21" customHeight="1">
      <c r="B26" s="5" t="inlineStr">
        <is>
          <t>WORKBOOK MAP</t>
        </is>
      </c>
    </row>
    <row r="27" ht="30" customHeight="1">
      <c r="B27" s="14" t="inlineStr">
        <is>
          <t>Tab</t>
        </is>
      </c>
      <c r="C27" s="14" t="inlineStr">
        <is>
          <t>Purpose</t>
        </is>
      </c>
      <c r="D27" s="14" t="n"/>
      <c r="E27" s="14" t="n"/>
      <c r="F27" s="14" t="n"/>
      <c r="G27" s="14" t="inlineStr">
        <is>
          <t>Primary status</t>
        </is>
      </c>
      <c r="H27" s="14" t="n"/>
      <c r="I27" s="14" t="inlineStr">
        <is>
          <t>Reviewer focus</t>
        </is>
      </c>
      <c r="J27" s="14" t="n"/>
    </row>
    <row r="28" ht="28" customHeight="1">
      <c r="B28" s="15" t="inlineStr">
        <is>
          <t>Sources</t>
        </is>
      </c>
      <c r="C28" s="16" t="inlineStr">
        <is>
          <t>Official source registry and URLs</t>
        </is>
      </c>
      <c r="D28" s="16" t="n"/>
      <c r="E28" s="16" t="n"/>
      <c r="F28" s="16" t="n"/>
      <c r="G28" s="16" t="inlineStr">
        <is>
          <t>Official metadata</t>
        </is>
      </c>
      <c r="H28" s="16" t="n"/>
      <c r="I28" s="16" t="inlineStr">
        <is>
          <t>Provenance</t>
        </is>
      </c>
      <c r="J28" s="16" t="n"/>
    </row>
    <row r="29" ht="28" customHeight="1">
      <c r="B29" s="17" t="inlineStr">
        <is>
          <t>IPO_Bridge</t>
        </is>
      </c>
      <c r="C29" s="18" t="inlineStr">
        <is>
          <t>Planned versus actual primary issuance</t>
        </is>
      </c>
      <c r="D29" s="18" t="n"/>
      <c r="E29" s="18" t="n"/>
      <c r="F29" s="18" t="n"/>
      <c r="G29" s="18" t="inlineStr">
        <is>
          <t>Actual + planned</t>
        </is>
      </c>
      <c r="H29" s="18" t="n"/>
      <c r="I29" s="18" t="inlineStr">
        <is>
          <t>Shares/proceeds identity</t>
        </is>
      </c>
      <c r="J29" s="18" t="n"/>
    </row>
    <row r="30" ht="28" customHeight="1">
      <c r="B30" s="15" t="inlineStr">
        <is>
          <t>Q1_Actuals</t>
        </is>
      </c>
      <c r="C30" s="16" t="inlineStr">
        <is>
          <t>Key consolidated statements and ratios</t>
        </is>
      </c>
      <c r="D30" s="16" t="n"/>
      <c r="E30" s="16" t="n"/>
      <c r="F30" s="16" t="n"/>
      <c r="G30" s="16" t="inlineStr">
        <is>
          <t>Actual</t>
        </is>
      </c>
      <c r="H30" s="16" t="n"/>
      <c r="I30" s="16" t="inlineStr">
        <is>
          <t>Statement/cash checks</t>
        </is>
      </c>
      <c r="J30" s="16" t="n"/>
    </row>
    <row r="31" ht="28" customHeight="1">
      <c r="B31" s="17" t="inlineStr">
        <is>
          <t>Mgmt_Forecast</t>
        </is>
      </c>
      <c r="C31" s="18" t="inlineStr">
        <is>
          <t>2025 actual and 2026–2030 company outlook</t>
        </is>
      </c>
      <c r="D31" s="18" t="n"/>
      <c r="E31" s="18" t="n"/>
      <c r="F31" s="18" t="n"/>
      <c r="G31" s="18" t="inlineStr">
        <is>
          <t>Actual / company outlook</t>
        </is>
      </c>
      <c r="H31" s="18" t="n"/>
      <c r="I31" s="18" t="inlineStr">
        <is>
          <t>No relabelling as analyst forecast</t>
        </is>
      </c>
      <c r="J31" s="18" t="n"/>
    </row>
    <row r="32" ht="28" customHeight="1">
      <c r="B32" s="15" t="inlineStr">
        <is>
          <t>Assumptions</t>
        </is>
      </c>
      <c r="C32" s="16" t="inlineStr">
        <is>
          <t>Editable Bear/Base/Bull inputs</t>
        </is>
      </c>
      <c r="D32" s="16" t="n"/>
      <c r="E32" s="16" t="n"/>
      <c r="F32" s="16" t="n"/>
      <c r="G32" s="16" t="inlineStr">
        <is>
          <t>Illustrative</t>
        </is>
      </c>
      <c r="H32" s="16" t="n"/>
      <c r="I32" s="16" t="inlineStr">
        <is>
          <t>Replace before investment use</t>
        </is>
      </c>
      <c r="J32" s="16" t="n"/>
    </row>
    <row r="33" ht="28" customHeight="1">
      <c r="B33" s="17" t="inlineStr">
        <is>
          <t>DMX_Valuation</t>
        </is>
      </c>
      <c r="C33" s="18" t="inlineStr">
        <is>
          <t>Driver-based FCFF DCF and equity bridge</t>
        </is>
      </c>
      <c r="D33" s="18" t="n"/>
      <c r="E33" s="18" t="n"/>
      <c r="F33" s="18" t="n"/>
      <c r="G33" s="18" t="inlineStr">
        <is>
          <t>Illustrative forecast</t>
        </is>
      </c>
      <c r="H33" s="18" t="n"/>
      <c r="I33" s="18" t="inlineStr">
        <is>
          <t>WACC, TV, double count</t>
        </is>
      </c>
      <c r="J33" s="18" t="n"/>
    </row>
    <row r="34" ht="28" customHeight="1">
      <c r="B34" s="15" t="inlineStr">
        <is>
          <t>MWG_SOTP</t>
        </is>
      </c>
      <c r="C34" s="16" t="inlineStr">
        <is>
          <t>Equity-level SOTP and holdco discount</t>
        </is>
      </c>
      <c r="D34" s="16" t="n"/>
      <c r="E34" s="16" t="n"/>
      <c r="F34" s="16" t="n"/>
      <c r="G34" s="16" t="inlineStr">
        <is>
          <t>Illustrative</t>
        </is>
      </c>
      <c r="H34" s="16" t="n"/>
      <c r="I34" s="16" t="inlineStr">
        <is>
          <t>Ownership and perimeter</t>
        </is>
      </c>
      <c r="J34" s="16" t="n"/>
    </row>
    <row r="35" ht="28" customHeight="1">
      <c r="B35" s="17" t="inlineStr">
        <is>
          <t>Scenarios</t>
        </is>
      </c>
      <c r="C35" s="18" t="inlineStr">
        <is>
          <t>Independent scenario calculations and sensitivities</t>
        </is>
      </c>
      <c r="D35" s="18" t="n"/>
      <c r="E35" s="18" t="n"/>
      <c r="F35" s="18" t="n"/>
      <c r="G35" s="18" t="inlineStr">
        <is>
          <t>Illustrative</t>
        </is>
      </c>
      <c r="H35" s="18" t="n"/>
      <c r="I35" s="18" t="inlineStr">
        <is>
          <t>Range, not target price</t>
        </is>
      </c>
      <c r="J35" s="18" t="n"/>
    </row>
    <row r="36" ht="28" customHeight="1">
      <c r="B36" s="15" t="inlineStr">
        <is>
          <t>Checks</t>
        </is>
      </c>
      <c r="C36" s="16" t="inlineStr">
        <is>
          <t>Critical QA and publication gates</t>
        </is>
      </c>
      <c r="D36" s="16" t="n"/>
      <c r="E36" s="16" t="n"/>
      <c r="F36" s="16" t="n"/>
      <c r="G36" s="16" t="inlineStr">
        <is>
          <t>Control</t>
        </is>
      </c>
      <c r="H36" s="16" t="n"/>
      <c r="I36" s="16" t="inlineStr">
        <is>
          <t>PASS/FAIL/WARN</t>
        </is>
      </c>
      <c r="J36" s="16" t="n"/>
    </row>
    <row r="39">
      <c r="B39" s="19" t="inlineStr">
        <is>
          <t>DISCLAIMER — Portfolio case study only. Not investment research, a recommendation, or an offer to buy/sell securities. Official facts remain subject to source documents. Management outlook is not a guarantee. All yellow/blue inputs are illustrative analyst assumptions. No market upside/downside is shown because same-date price inputs are absent.</t>
        </is>
      </c>
    </row>
    <row r="40"/>
    <row r="41"/>
  </sheetData>
  <mergeCells count="55">
    <mergeCell ref="I30:J30"/>
    <mergeCell ref="I34:J34"/>
    <mergeCell ref="G27:H27"/>
    <mergeCell ref="C9:E9"/>
    <mergeCell ref="B23:J23"/>
    <mergeCell ref="I27:J27"/>
    <mergeCell ref="G36:H36"/>
    <mergeCell ref="B8:J8"/>
    <mergeCell ref="I36:J36"/>
    <mergeCell ref="C32:F32"/>
    <mergeCell ref="B39:J41"/>
    <mergeCell ref="B4:J5"/>
    <mergeCell ref="C12:E12"/>
    <mergeCell ref="C28:F28"/>
    <mergeCell ref="G9:J9"/>
    <mergeCell ref="C11:E11"/>
    <mergeCell ref="B19:J19"/>
    <mergeCell ref="I32:J32"/>
    <mergeCell ref="C34:F34"/>
    <mergeCell ref="G12:J12"/>
    <mergeCell ref="C30:F30"/>
    <mergeCell ref="G28:H28"/>
    <mergeCell ref="C33:F33"/>
    <mergeCell ref="I28:J28"/>
    <mergeCell ref="G11:J11"/>
    <mergeCell ref="B2:J3"/>
    <mergeCell ref="G34:H34"/>
    <mergeCell ref="B20:J20"/>
    <mergeCell ref="C13:E13"/>
    <mergeCell ref="G30:H30"/>
    <mergeCell ref="C35:F35"/>
    <mergeCell ref="G33:H33"/>
    <mergeCell ref="I33:J33"/>
    <mergeCell ref="C29:F29"/>
    <mergeCell ref="B26:J26"/>
    <mergeCell ref="C15:E15"/>
    <mergeCell ref="G10:J10"/>
    <mergeCell ref="G29:H29"/>
    <mergeCell ref="G35:H35"/>
    <mergeCell ref="G13:J13"/>
    <mergeCell ref="C10:E10"/>
    <mergeCell ref="C14:E14"/>
    <mergeCell ref="I29:J29"/>
    <mergeCell ref="C31:F31"/>
    <mergeCell ref="I35:J35"/>
    <mergeCell ref="G32:H32"/>
    <mergeCell ref="B22:J22"/>
    <mergeCell ref="B18:J18"/>
    <mergeCell ref="G31:H31"/>
    <mergeCell ref="G15:J15"/>
    <mergeCell ref="I31:J31"/>
    <mergeCell ref="C27:F27"/>
    <mergeCell ref="C36:F36"/>
    <mergeCell ref="B21:J21"/>
    <mergeCell ref="G14:J14"/>
  </mergeCells>
  <hyperlinks>
    <hyperlink xmlns:r="http://schemas.openxmlformats.org/officeDocument/2006/relationships" ref="B28" r:id="rId1"/>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xmlns:r="http://schemas.openxmlformats.org/officeDocument/2006/relationships" ref="B32" r:id="rId5"/>
    <hyperlink xmlns:r="http://schemas.openxmlformats.org/officeDocument/2006/relationships" ref="B33" r:id="rId6"/>
    <hyperlink xmlns:r="http://schemas.openxmlformats.org/officeDocument/2006/relationships" ref="B34" r:id="rId7"/>
    <hyperlink xmlns:r="http://schemas.openxmlformats.org/officeDocument/2006/relationships" ref="B35" r:id="rId8"/>
    <hyperlink xmlns:r="http://schemas.openxmlformats.org/officeDocument/2006/relationships" ref="B36" r:id="rId9"/>
  </hyperlinks>
  <pageMargins left="0.75" right="0.75" top="1" bottom="1" header="0.5" footer="0.5"/>
  <pageSetup orientation="landscape" fitToHeight="1" fitToWidth="1"/>
  <headerFooter>
    <oddHeader/>
    <oddFooter>&amp;CMWG / DMX IPO SOTP — portfolio case study — not investment advice&amp;RPage &amp;P of &amp;N</oddFooter>
    <evenHeader/>
    <evenFooter/>
    <firstHeader/>
    <firstFooter/>
  </headerFooter>
</worksheet>
</file>

<file path=xl/worksheets/sheet2.xml><?xml version="1.0" encoding="utf-8"?>
<worksheet xmlns="http://schemas.openxmlformats.org/spreadsheetml/2006/main">
  <sheetPr>
    <tabColor rgb="0000A6A6"/>
    <outlinePr summaryBelow="1" summaryRight="1"/>
    <pageSetUpPr fitToPage="1"/>
  </sheetPr>
  <dimension ref="A1:M17"/>
  <sheetViews>
    <sheetView showGridLines="0" zoomScale="80" workbookViewId="0">
      <pane ySplit="4" topLeftCell="A5" activePane="bottomLeft" state="frozen"/>
      <selection pane="bottomLeft" activeCell="A1" sqref="A1"/>
    </sheetView>
  </sheetViews>
  <sheetFormatPr baseColWidth="8" defaultRowHeight="15"/>
  <cols>
    <col width="20" customWidth="1" min="1" max="1"/>
    <col width="10" customWidth="1" min="2" max="2"/>
    <col width="23" customWidth="1" min="3" max="3"/>
    <col width="43" customWidth="1" min="4" max="4"/>
    <col width="14" customWidth="1" min="5" max="5"/>
    <col width="14" customWidth="1" min="6" max="6"/>
    <col width="14" customWidth="1" min="7" max="7"/>
    <col width="15" customWidth="1" min="8" max="8"/>
    <col width="21" customWidth="1" min="9" max="9"/>
    <col width="55" customWidth="1" min="10" max="10"/>
    <col width="39" customWidth="1" min="11" max="11"/>
    <col width="37" customWidth="1" min="12" max="12"/>
    <col width="48" customWidth="1" min="13" max="13"/>
  </cols>
  <sheetData>
    <row r="1" ht="31" customHeight="1">
      <c r="A1" s="20" t="inlineStr">
        <is>
          <t>Source registry</t>
        </is>
      </c>
    </row>
    <row r="2" ht="23" customHeight="1">
      <c r="A2" s="21" t="inlineStr">
        <is>
          <t>Official issuer documents used in the model; retrieved 13-Jul-2026</t>
        </is>
      </c>
    </row>
    <row r="4" ht="30" customHeight="1">
      <c r="A4" s="14" t="inlineStr">
        <is>
          <t>Source ID</t>
        </is>
      </c>
      <c r="B4" s="14" t="inlineStr">
        <is>
          <t>Issuer</t>
        </is>
      </c>
      <c r="C4" s="14" t="inlineStr">
        <is>
          <t>Document type</t>
        </is>
      </c>
      <c r="D4" s="14" t="inlineStr">
        <is>
          <t>Title</t>
        </is>
      </c>
      <c r="E4" s="14" t="inlineStr">
        <is>
          <t>Period end</t>
        </is>
      </c>
      <c r="F4" s="14" t="inlineStr">
        <is>
          <t>Published</t>
        </is>
      </c>
      <c r="G4" s="14" t="inlineStr">
        <is>
          <t>Retrieved</t>
        </is>
      </c>
      <c r="H4" s="14" t="inlineStr">
        <is>
          <t>Audit status</t>
        </is>
      </c>
      <c r="I4" s="14" t="inlineStr">
        <is>
          <t>Scope</t>
        </is>
      </c>
      <c r="J4" s="14" t="inlineStr">
        <is>
          <t>Official URL</t>
        </is>
      </c>
      <c r="K4" s="14" t="inlineStr">
        <is>
          <t>Local artifact</t>
        </is>
      </c>
      <c r="L4" s="14" t="inlineStr">
        <is>
          <t>Model use</t>
        </is>
      </c>
      <c r="M4" s="14" t="inlineStr">
        <is>
          <t>Notes / limitations</t>
        </is>
      </c>
    </row>
    <row r="5" ht="54" customHeight="1">
      <c r="A5" s="22" t="inlineStr">
        <is>
          <t>DMX-IPO-SALESKIT</t>
        </is>
      </c>
      <c r="B5" s="22" t="inlineStr">
        <is>
          <t>DMX</t>
        </is>
      </c>
      <c r="C5" s="22" t="inlineStr">
        <is>
          <t>Investor presentation / sales kit</t>
        </is>
      </c>
      <c r="D5" s="22" t="inlineStr">
        <is>
          <t>DMX IPO sales kit</t>
        </is>
      </c>
      <c r="E5" s="23" t="n">
        <v>46022</v>
      </c>
      <c r="F5" s="23" t="n"/>
      <c r="G5" s="23" t="n">
        <v>46216</v>
      </c>
      <c r="H5" s="22" t="inlineStr">
        <is>
          <t>N/A</t>
        </is>
      </c>
      <c r="I5" s="22" t="inlineStr">
        <is>
          <t>Company presentation</t>
        </is>
      </c>
      <c r="J5" s="24" t="inlineStr">
        <is>
          <t>https://cdnv2-tmdt.tgdd.vn/mwgvn/investorrelations/files/posts/2026/5/5005818/d8/6b/d86b5d707c2c0b5baea9dbcffafaaa50.pdf</t>
        </is>
      </c>
      <c r="K5" s="22" t="inlineStr">
        <is>
          <t>data/raw/dmx/dmx_ipo_presentation_2026.pdf</t>
        </is>
      </c>
      <c r="L5" s="22" t="inlineStr">
        <is>
          <t>Planned IPO terms and management outlook</t>
        </is>
      </c>
      <c r="M5" s="22" t="inlineStr">
        <is>
          <t>Company-provided material; forecasts are not guarantees.</t>
        </is>
      </c>
    </row>
    <row r="6" ht="54" customHeight="1">
      <c r="A6" s="25" t="inlineStr">
        <is>
          <t>DMX-IPO-RES14</t>
        </is>
      </c>
      <c r="B6" s="25" t="inlineStr">
        <is>
          <t>DMX</t>
        </is>
      </c>
      <c r="C6" s="25" t="inlineStr">
        <is>
          <t>Board resolution / IPO result</t>
        </is>
      </c>
      <c r="D6" s="25" t="inlineStr">
        <is>
          <t>Resolution No. 14 on actual IPO result</t>
        </is>
      </c>
      <c r="E6" s="26" t="n"/>
      <c r="F6" s="26" t="n">
        <v>46203</v>
      </c>
      <c r="G6" s="26" t="n">
        <v>46216</v>
      </c>
      <c r="H6" s="25" t="inlineStr">
        <is>
          <t>N/A</t>
        </is>
      </c>
      <c r="I6" s="25" t="inlineStr">
        <is>
          <t>Issuer disclosure</t>
        </is>
      </c>
      <c r="J6" s="24" t="inlineStr">
        <is>
          <t>https://cdnv2-tmdt.tgdd.vn/mwgvn/investorrelations/files/posts/2026/7/0/f1/08/f108ca2a7399d9a70674915a4b2cf651.pdf</t>
        </is>
      </c>
      <c r="K6" s="25" t="inlineStr">
        <is>
          <t>N/A (source linked; raw files are git-ignored)</t>
        </is>
      </c>
      <c r="L6" s="25" t="inlineStr">
        <is>
          <t>Actual allocated/cancelled/post-IPO shares and proceeds</t>
        </is>
      </c>
      <c r="M6" s="25" t="inlineStr">
        <is>
          <t>Primary source for the actual IPO bridge.</t>
        </is>
      </c>
    </row>
    <row r="7" ht="54" customHeight="1">
      <c r="A7" s="22" t="inlineStr">
        <is>
          <t>DMX-IPO-COMPLETE</t>
        </is>
      </c>
      <c r="B7" s="22" t="inlineStr">
        <is>
          <t>DMX</t>
        </is>
      </c>
      <c r="C7" s="22" t="inlineStr">
        <is>
          <t>Issuer announcement</t>
        </is>
      </c>
      <c r="D7" s="22" t="inlineStr">
        <is>
          <t>DMX completes IPO and raises more than VND 13,315bn</t>
        </is>
      </c>
      <c r="E7" s="23" t="n"/>
      <c r="F7" s="23" t="n">
        <v>46203</v>
      </c>
      <c r="G7" s="23" t="n">
        <v>46216</v>
      </c>
      <c r="H7" s="22" t="inlineStr">
        <is>
          <t>N/A</t>
        </is>
      </c>
      <c r="I7" s="22" t="inlineStr">
        <is>
          <t>Issuer announcement</t>
        </is>
      </c>
      <c r="J7" s="24" t="inlineStr">
        <is>
          <t>https://www.dmx.vn/eng/news/dien-may-xanh-completes-landmark-ipo-raising-more-than-vnd-13-315-billion-and-lifting-charter-capital-to-vnd-12-677-billion-5002485</t>
        </is>
      </c>
      <c r="K7" s="22" t="inlineStr">
        <is>
          <t>N/A</t>
        </is>
      </c>
      <c r="L7" s="22" t="inlineStr">
        <is>
          <t>Rounded MWG ownership disclosure and transaction context</t>
        </is>
      </c>
      <c r="M7" s="22" t="inlineStr">
        <is>
          <t>'Nearly 86%' is a reasonableness check, not exact ownership.</t>
        </is>
      </c>
    </row>
    <row r="8" ht="54" customHeight="1">
      <c r="A8" s="25" t="inlineStr">
        <is>
          <t>DMX-Q1-2026</t>
        </is>
      </c>
      <c r="B8" s="25" t="inlineStr">
        <is>
          <t>DMX</t>
        </is>
      </c>
      <c r="C8" s="25" t="inlineStr">
        <is>
          <t>Interim financial statements and data pack</t>
        </is>
      </c>
      <c r="D8" s="25" t="inlineStr">
        <is>
          <t>DMX Q1 2026 consolidated financial statements</t>
        </is>
      </c>
      <c r="E8" s="26" t="n">
        <v>46112</v>
      </c>
      <c r="F8" s="26" t="n"/>
      <c r="G8" s="26" t="n">
        <v>46216</v>
      </c>
      <c r="H8" s="25" t="inlineStr">
        <is>
          <t>Unaudited</t>
        </is>
      </c>
      <c r="I8" s="25" t="inlineStr">
        <is>
          <t>Consolidated</t>
        </is>
      </c>
      <c r="J8" s="24" t="inlineStr">
        <is>
          <t>https://cdnv2-tmdt.tgdd.vn/mwgvn/investorrelations/files/posts/2026/6/0/6b/e5/6be50a510e272451464dae07771401ca.xlsx</t>
        </is>
      </c>
      <c r="K8" s="25" t="inlineStr">
        <is>
          <t>data/raw/dmx/dmx_q1_2026_data_pack.xlsx</t>
        </is>
      </c>
      <c r="L8" s="25" t="inlineStr">
        <is>
          <t>Q1 2026 actual balance sheet, income statement and cash flow</t>
        </is>
      </c>
      <c r="M8" s="25" t="inlineStr">
        <is>
          <t>Model values are in VND bn; source workbook is in VND.</t>
        </is>
      </c>
    </row>
    <row r="9" ht="54" customHeight="1">
      <c r="A9" s="22" t="inlineStr">
        <is>
          <t>DMX-6M-2026</t>
        </is>
      </c>
      <c r="B9" s="22" t="inlineStr">
        <is>
          <t>DMX</t>
        </is>
      </c>
      <c r="C9" s="22" t="inlineStr">
        <is>
          <t>Business update</t>
        </is>
      </c>
      <c r="D9" s="22" t="inlineStr">
        <is>
          <t>DMX business results — six months 2026</t>
        </is>
      </c>
      <c r="E9" s="23" t="n">
        <v>46203</v>
      </c>
      <c r="F9" s="23" t="n"/>
      <c r="G9" s="23" t="n">
        <v>46216</v>
      </c>
      <c r="H9" s="22" t="inlineStr">
        <is>
          <t>Unaudited</t>
        </is>
      </c>
      <c r="I9" s="22" t="inlineStr">
        <is>
          <t>Company LFL operating update</t>
        </is>
      </c>
      <c r="J9" s="24" t="inlineStr">
        <is>
          <t>https://cdnv2-tmdt.tgdd.vn/mwgvn/investorrelations/files/posts/2026/7/5006021/b5/ee/b5ee17c283b469b12b3b435d00da8aa4.pdf</t>
        </is>
      </c>
      <c r="K9" s="22" t="inlineStr">
        <is>
          <t>N/A</t>
        </is>
      </c>
      <c r="L9" s="22" t="inlineStr">
        <is>
          <t>Operating KPI context only</t>
        </is>
      </c>
      <c r="M9" s="22" t="inlineStr">
        <is>
          <t>Not used as a substitute for audited/interim financial statements.</t>
        </is>
      </c>
    </row>
    <row r="10" ht="54" customHeight="1">
      <c r="A10" s="25" t="inlineStr">
        <is>
          <t>DMX-OUTLOOK</t>
        </is>
      </c>
      <c r="B10" s="25" t="inlineStr">
        <is>
          <t>DMX</t>
        </is>
      </c>
      <c r="C10" s="25" t="inlineStr">
        <is>
          <t>Investor presentation</t>
        </is>
      </c>
      <c r="D10" s="25" t="inlineStr">
        <is>
          <t>DMX 2026–2030 management outlook</t>
        </is>
      </c>
      <c r="E10" s="26" t="n">
        <v>47848</v>
      </c>
      <c r="F10" s="26" t="n"/>
      <c r="G10" s="26" t="n">
        <v>46216</v>
      </c>
      <c r="H10" s="25" t="inlineStr">
        <is>
          <t>N/A</t>
        </is>
      </c>
      <c r="I10" s="25" t="inlineStr">
        <is>
          <t>Company outlook</t>
        </is>
      </c>
      <c r="J10" s="24" t="inlineStr">
        <is>
          <t>https://cdnv2-tmdt.tgdd.vn/mwgvn/investorrelations/files/posts/2026/6/5005889/4a/f4/4af4a4152a74661a28063a23b4d6747f.pdf</t>
        </is>
      </c>
      <c r="K10" s="25" t="inlineStr">
        <is>
          <t>N/A</t>
        </is>
      </c>
      <c r="L10" s="25" t="inlineStr">
        <is>
          <t>Management revenue, NPAT and gross-margin outlook</t>
        </is>
      </c>
      <c r="M10" s="25" t="inlineStr">
        <is>
          <t>Separated from analyst forecast and actuals.</t>
        </is>
      </c>
    </row>
    <row r="11" ht="54" customHeight="1">
      <c r="A11" s="22" t="inlineStr">
        <is>
          <t>MWG-AR-2025</t>
        </is>
      </c>
      <c r="B11" s="22" t="inlineStr">
        <is>
          <t>MWG</t>
        </is>
      </c>
      <c r="C11" s="22" t="inlineStr">
        <is>
          <t>Annual report</t>
        </is>
      </c>
      <c r="D11" s="22" t="inlineStr">
        <is>
          <t>MWG Annual Report 2025</t>
        </is>
      </c>
      <c r="E11" s="23" t="n">
        <v>46022</v>
      </c>
      <c r="F11" s="23" t="n"/>
      <c r="G11" s="23" t="n">
        <v>46216</v>
      </c>
      <c r="H11" s="22" t="inlineStr">
        <is>
          <t>Audited sections as identified in report</t>
        </is>
      </c>
      <c r="I11" s="22" t="inlineStr">
        <is>
          <t>Consolidated / corporate</t>
        </is>
      </c>
      <c r="J11" s="24" t="inlineStr">
        <is>
          <t>https://cdnv2.tgdd.vn/mwgvn/investorrelations/files/posts/2026/3/5677/48/8a/488ab752e1224bcbd9dd5413be04179f.pdf</t>
        </is>
      </c>
      <c r="K11" s="22" t="inlineStr">
        <is>
          <t>data/raw/mwg/mwg_annual_report_2025.pdf</t>
        </is>
      </c>
      <c r="L11" s="22" t="inlineStr">
        <is>
          <t>Group context and perimeter</t>
        </is>
      </c>
      <c r="M11" s="22" t="inlineStr">
        <is>
          <t>No current MWG market price is imported into this workbook.</t>
        </is>
      </c>
    </row>
    <row r="12" ht="54" customHeight="1">
      <c r="A12" s="25" t="inlineStr">
        <is>
          <t>MWG-ERABLUE-JV</t>
        </is>
      </c>
      <c r="B12" s="25" t="inlineStr">
        <is>
          <t>MWG</t>
        </is>
      </c>
      <c r="C12" s="25" t="inlineStr">
        <is>
          <t>Issuer article</t>
        </is>
      </c>
      <c r="D12" s="25" t="inlineStr">
        <is>
          <t>MWG describes EraBlue as a joint venture</t>
        </is>
      </c>
      <c r="E12" s="26" t="n"/>
      <c r="F12" s="26" t="n"/>
      <c r="G12" s="26" t="n">
        <v>46216</v>
      </c>
      <c r="H12" s="25" t="inlineStr">
        <is>
          <t>N/A</t>
        </is>
      </c>
      <c r="I12" s="25" t="inlineStr">
        <is>
          <t>Issuer article</t>
        </is>
      </c>
      <c r="J12" s="24" t="inlineStr">
        <is>
          <t>https://mwg.vn/tin-tuc/erablue-buoc-chuyen-minh-cua-the-gioi-di-dong-o-quoc-gia-dong-dan-nhat-asean-179</t>
        </is>
      </c>
      <c r="K12" s="25" t="inlineStr">
        <is>
          <t>N/A</t>
        </is>
      </c>
      <c r="L12" s="25" t="inlineStr">
        <is>
          <t>Perimeter and double-counting control</t>
        </is>
      </c>
      <c r="M12" s="25" t="inlineStr">
        <is>
          <t>EraBlue is included once inside DMX in this illustrative model.</t>
        </is>
      </c>
    </row>
    <row r="15">
      <c r="A15" s="27" t="inlineStr">
        <is>
          <t>Repository policy: raw issuer documents are git-ignored. The build script embeds only the derived official facts needed for reproducibility and links each fact to the issuer source. If the local Q1 data pack is present, the build verifies representative embedded values against it before saving the model.</t>
        </is>
      </c>
    </row>
    <row r="16"/>
    <row r="17"/>
  </sheetData>
  <mergeCells count="3">
    <mergeCell ref="A2:M2"/>
    <mergeCell ref="A15:M17"/>
    <mergeCell ref="A1:M1"/>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3.xml><?xml version="1.0" encoding="utf-8"?>
<worksheet xmlns="http://schemas.openxmlformats.org/spreadsheetml/2006/main">
  <sheetPr>
    <tabColor rgb="0000A6A6"/>
    <outlinePr summaryBelow="1" summaryRight="1"/>
    <pageSetUpPr fitToPage="1"/>
  </sheetPr>
  <dimension ref="A1:H25"/>
  <sheetViews>
    <sheetView showGridLines="0" zoomScale="90" workbookViewId="0">
      <pane ySplit="4" topLeftCell="A5" activePane="bottomLeft" state="frozen"/>
      <selection pane="bottomLeft" activeCell="A1" sqref="A1"/>
    </sheetView>
  </sheetViews>
  <sheetFormatPr baseColWidth="8" defaultRowHeight="15"/>
  <cols>
    <col width="34" customWidth="1" min="1" max="1"/>
    <col width="15" customWidth="1" min="2" max="2"/>
    <col width="18" customWidth="1" min="3" max="3"/>
    <col width="18" customWidth="1" min="4" max="4"/>
    <col width="20" customWidth="1" min="5" max="5"/>
    <col width="25" customWidth="1" min="6" max="6"/>
    <col width="52" customWidth="1" min="7" max="7"/>
    <col width="24" customWidth="1" min="8" max="8"/>
  </cols>
  <sheetData>
    <row r="1" ht="31" customHeight="1">
      <c r="A1" s="20" t="inlineStr">
        <is>
          <t>DMX IPO bridge — planned vs actual close</t>
        </is>
      </c>
    </row>
    <row r="2" ht="23" customHeight="1">
      <c r="A2" s="21" t="inlineStr">
        <is>
          <t>Primary issuance; MWG did not receive the gross proceeds. Shares in million, values in VND bn unless stated.</t>
        </is>
      </c>
    </row>
    <row r="4" ht="30" customHeight="1">
      <c r="A4" s="14" t="inlineStr">
        <is>
          <t>Metric</t>
        </is>
      </c>
      <c r="B4" s="14" t="inlineStr">
        <is>
          <t>Unit</t>
        </is>
      </c>
      <c r="C4" s="14" t="inlineStr">
        <is>
          <t>Planned</t>
        </is>
      </c>
      <c r="D4" s="14" t="inlineStr">
        <is>
          <t>Actual close</t>
        </is>
      </c>
      <c r="E4" s="14" t="inlineStr">
        <is>
          <t>Status</t>
        </is>
      </c>
      <c r="F4" s="14" t="inlineStr">
        <is>
          <t>Source / formula</t>
        </is>
      </c>
      <c r="G4" s="14" t="inlineStr">
        <is>
          <t>Interpretation</t>
        </is>
      </c>
      <c r="H4" s="14" t="inlineStr">
        <is>
          <t>Control</t>
        </is>
      </c>
    </row>
    <row r="5" ht="30" customHeight="1">
      <c r="A5" s="28" t="inlineStr">
        <is>
          <t>IPO offer price</t>
        </is>
      </c>
      <c r="B5" s="28" t="inlineStr">
        <is>
          <t>VND/share</t>
        </is>
      </c>
      <c r="C5" s="29" t="n">
        <v>80000</v>
      </c>
      <c r="D5" s="29" t="n">
        <v>80000</v>
      </c>
      <c r="E5" s="28" t="inlineStr">
        <is>
          <t>Actual / planned</t>
        </is>
      </c>
      <c r="F5" s="28" t="inlineStr">
        <is>
          <t>DMX-IPO-SALESKIT; DMX-IPO-RES14</t>
        </is>
      </c>
      <c r="G5" s="28" t="inlineStr">
        <is>
          <t>Primary offer price</t>
        </is>
      </c>
      <c r="H5" s="30">
        <f>IF(C5=D5,"PASS","FAIL")</f>
        <v/>
      </c>
    </row>
    <row r="6" ht="30" customHeight="1">
      <c r="A6" s="31" t="inlineStr">
        <is>
          <t>Shares before IPO</t>
        </is>
      </c>
      <c r="B6" s="31" t="inlineStr">
        <is>
          <t>mn shares</t>
        </is>
      </c>
      <c r="C6" s="32" t="n">
        <v>1101.2835</v>
      </c>
      <c r="D6" s="32" t="n">
        <v>1101.2835</v>
      </c>
      <c r="E6" s="31" t="inlineStr">
        <is>
          <t>Actual</t>
        </is>
      </c>
      <c r="F6" s="31" t="inlineStr">
        <is>
          <t>DMX-IPO-RES14</t>
        </is>
      </c>
      <c r="G6" s="31" t="inlineStr">
        <is>
          <t>Opening share count</t>
        </is>
      </c>
    </row>
    <row r="7" ht="30" customHeight="1">
      <c r="A7" s="28" t="inlineStr">
        <is>
          <t>Shares offered</t>
        </is>
      </c>
      <c r="B7" s="28" t="inlineStr">
        <is>
          <t>mn shares</t>
        </is>
      </c>
      <c r="C7" s="33" t="n">
        <v>179.5004</v>
      </c>
      <c r="D7" s="33" t="n">
        <v>179.5004</v>
      </c>
      <c r="E7" s="28" t="inlineStr">
        <is>
          <t>Actual / planned</t>
        </is>
      </c>
      <c r="F7" s="28" t="inlineStr">
        <is>
          <t>DMX-IPO-SALESKIT; DMX-IPO-RES14</t>
        </is>
      </c>
      <c r="G7" s="28" t="inlineStr">
        <is>
          <t>Maximum primary shares offered</t>
        </is>
      </c>
    </row>
    <row r="8" ht="30" customHeight="1">
      <c r="A8" s="31" t="inlineStr">
        <is>
          <t>Shares registered</t>
        </is>
      </c>
      <c r="B8" s="31" t="inlineStr">
        <is>
          <t>mn shares</t>
        </is>
      </c>
      <c r="C8" s="34" t="inlineStr">
        <is>
          <t>N/A</t>
        </is>
      </c>
      <c r="D8" s="32" t="n">
        <v>166.4858</v>
      </c>
      <c r="E8" s="31" t="inlineStr">
        <is>
          <t>Actual</t>
        </is>
      </c>
      <c r="F8" s="31" t="inlineStr">
        <is>
          <t>DMX-IPO-RES14</t>
        </is>
      </c>
      <c r="G8" s="31" t="inlineStr">
        <is>
          <t>Registered, not necessarily allocated</t>
        </is>
      </c>
    </row>
    <row r="9" ht="30" customHeight="1">
      <c r="A9" s="28" t="inlineStr">
        <is>
          <t>Shares successfully allocated</t>
        </is>
      </c>
      <c r="B9" s="28" t="inlineStr">
        <is>
          <t>mn shares</t>
        </is>
      </c>
      <c r="C9" s="33" t="n">
        <v>179.5004</v>
      </c>
      <c r="D9" s="33" t="n">
        <v>166.4385</v>
      </c>
      <c r="E9" s="28" t="inlineStr">
        <is>
          <t>Actual / planned</t>
        </is>
      </c>
      <c r="F9" s="28" t="inlineStr">
        <is>
          <t>DMX-IPO-RES14</t>
        </is>
      </c>
      <c r="G9" s="28" t="inlineStr">
        <is>
          <t>Actual case uses only paid/allocated shares</t>
        </is>
      </c>
    </row>
    <row r="10" ht="30" customHeight="1">
      <c r="A10" s="31" t="inlineStr">
        <is>
          <t>Shares cancelled</t>
        </is>
      </c>
      <c r="B10" s="31" t="inlineStr">
        <is>
          <t>mn shares</t>
        </is>
      </c>
      <c r="C10" s="34">
        <f>C7-C9</f>
        <v/>
      </c>
      <c r="D10" s="32" t="n">
        <v>13.0619</v>
      </c>
      <c r="E10" s="31" t="inlineStr">
        <is>
          <t>Actual</t>
        </is>
      </c>
      <c r="F10" s="31" t="inlineStr">
        <is>
          <t>DMX-IPO-RES14</t>
        </is>
      </c>
      <c r="G10" s="31" t="inlineStr">
        <is>
          <t>Unallocated shares were cancelled</t>
        </is>
      </c>
      <c r="H10" s="30">
        <f>IF(ABS(D7-D9-D10)&lt;0.000001,"PASS","FAIL")</f>
        <v/>
      </c>
    </row>
    <row r="11" ht="30" customHeight="1">
      <c r="A11" s="28" t="inlineStr">
        <is>
          <t>Shares after IPO</t>
        </is>
      </c>
      <c r="B11" s="28" t="inlineStr">
        <is>
          <t>mn shares</t>
        </is>
      </c>
      <c r="C11" s="35">
        <f>C6+C9</f>
        <v/>
      </c>
      <c r="D11" s="33" t="n">
        <v>1267.722</v>
      </c>
      <c r="E11" s="28" t="inlineStr">
        <is>
          <t>Actual</t>
        </is>
      </c>
      <c r="F11" s="28" t="inlineStr">
        <is>
          <t>DMX-IPO-RES14</t>
        </is>
      </c>
      <c r="G11" s="28" t="inlineStr">
        <is>
          <t>Post-IPO diluted share count</t>
        </is>
      </c>
      <c r="H11" s="30">
        <f>IF(ABS((D6+D9)-D11)&lt;0.000001,"PASS","FAIL")</f>
        <v/>
      </c>
    </row>
    <row r="12" ht="30" customHeight="1">
      <c r="A12" s="31" t="inlineStr">
        <is>
          <t>Gross proceeds</t>
        </is>
      </c>
      <c r="B12" s="31" t="inlineStr">
        <is>
          <t>VND bn</t>
        </is>
      </c>
      <c r="C12" s="36">
        <f>C9*C5/1000</f>
        <v/>
      </c>
      <c r="D12" s="36">
        <f>D9*D5/1000</f>
        <v/>
      </c>
      <c r="E12" s="31" t="inlineStr">
        <is>
          <t>Calculated from actual</t>
        </is>
      </c>
      <c r="F12" s="31" t="inlineStr">
        <is>
          <t>Shares allocated × offer price</t>
        </is>
      </c>
      <c r="G12" s="31" t="inlineStr">
        <is>
          <t>Cash raised by DMX before issue costs</t>
        </is>
      </c>
      <c r="H12" s="30">
        <f>IF(ABS(D9*D5/1000-13315.080)&lt;0.001,"PASS","FAIL")</f>
        <v/>
      </c>
    </row>
    <row r="13" ht="30" customHeight="1">
      <c r="A13" s="28" t="inlineStr">
        <is>
          <t>Subscription rate</t>
        </is>
      </c>
      <c r="B13" s="28" t="inlineStr">
        <is>
          <t>%</t>
        </is>
      </c>
      <c r="C13" s="37">
        <f>C9/C7</f>
        <v/>
      </c>
      <c r="D13" s="37">
        <f>D9/D7</f>
        <v/>
      </c>
      <c r="E13" s="28" t="inlineStr">
        <is>
          <t>Calculated</t>
        </is>
      </c>
      <c r="F13" s="28" t="inlineStr">
        <is>
          <t>Allocated / offered</t>
        </is>
      </c>
      <c r="G13" s="28" t="inlineStr">
        <is>
          <t>Actual take-up of the offer</t>
        </is>
      </c>
    </row>
    <row r="14" ht="30" customHeight="1">
      <c r="A14" s="31" t="inlineStr">
        <is>
          <t>New shares / post-money shares</t>
        </is>
      </c>
      <c r="B14" s="31" t="inlineStr">
        <is>
          <t>%</t>
        </is>
      </c>
      <c r="C14" s="38">
        <f>C9/C11</f>
        <v/>
      </c>
      <c r="D14" s="38">
        <f>D9/D11</f>
        <v/>
      </c>
      <c r="E14" s="31" t="inlineStr">
        <is>
          <t>Calculated</t>
        </is>
      </c>
      <c r="F14" s="31" t="inlineStr">
        <is>
          <t>New / post shares</t>
        </is>
      </c>
      <c r="G14" s="31" t="inlineStr">
        <is>
          <t>Primary dilution percentage</t>
        </is>
      </c>
    </row>
    <row r="15" ht="30" customHeight="1">
      <c r="A15" s="28" t="inlineStr">
        <is>
          <t>Pre-money equity value at IPO price</t>
        </is>
      </c>
      <c r="B15" s="28" t="inlineStr">
        <is>
          <t>VND bn</t>
        </is>
      </c>
      <c r="C15" s="39">
        <f>C6*C5/1000</f>
        <v/>
      </c>
      <c r="D15" s="39">
        <f>D6*D5/1000</f>
        <v/>
      </c>
      <c r="E15" s="28" t="inlineStr">
        <is>
          <t>Calculated</t>
        </is>
      </c>
      <c r="F15" s="28" t="inlineStr">
        <is>
          <t>Pre shares × offer price</t>
        </is>
      </c>
      <c r="G15" s="28" t="inlineStr">
        <is>
          <t>Transaction-price identity, not independent fair value</t>
        </is>
      </c>
    </row>
    <row r="16" ht="30" customHeight="1">
      <c r="A16" s="31" t="inlineStr">
        <is>
          <t>Post-money equity value at IPO price</t>
        </is>
      </c>
      <c r="B16" s="31" t="inlineStr">
        <is>
          <t>VND bn</t>
        </is>
      </c>
      <c r="C16" s="36">
        <f>C11*C5/1000</f>
        <v/>
      </c>
      <c r="D16" s="36">
        <f>D11*D5/1000</f>
        <v/>
      </c>
      <c r="E16" s="31" t="inlineStr">
        <is>
          <t>Calculated</t>
        </is>
      </c>
      <c r="F16" s="31" t="inlineStr">
        <is>
          <t>Post shares × offer price</t>
        </is>
      </c>
      <c r="G16" s="31" t="inlineStr">
        <is>
          <t>Transaction-price identity, not a market conclusion</t>
        </is>
      </c>
      <c r="H16" s="30">
        <f>IF(ABS(D15+D12-D16)&lt;0.001,"PASS","FAIL")</f>
        <v/>
      </c>
    </row>
    <row r="17" ht="30" customHeight="1">
      <c r="A17" s="28" t="inlineStr">
        <is>
          <t>MWG ownership after IPO</t>
        </is>
      </c>
      <c r="B17" s="28" t="inlineStr">
        <is>
          <t>%</t>
        </is>
      </c>
      <c r="C17" s="37" t="inlineStr">
        <is>
          <t>N/A</t>
        </is>
      </c>
      <c r="D17" s="40" t="n">
        <v>0.86</v>
      </c>
      <c r="E17" s="28" t="inlineStr">
        <is>
          <t>Approximate disclosure</t>
        </is>
      </c>
      <c r="F17" s="28" t="inlineStr">
        <is>
          <t>DMX-IPO-COMPLETE</t>
        </is>
      </c>
      <c r="G17" s="28" t="inlineStr">
        <is>
          <t>'Nearly 86%' only; exact shares remain unverified</t>
        </is>
      </c>
      <c r="H17" s="30">
        <f>IF(ABS(D17-86%)&lt;=1%,"PASS — rounded","WARN")</f>
        <v/>
      </c>
    </row>
    <row r="18" ht="30" customHeight="1">
      <c r="A18" s="31" t="inlineStr">
        <is>
          <t>Issue costs</t>
        </is>
      </c>
      <c r="B18" s="31" t="inlineStr">
        <is>
          <t>VND bn</t>
        </is>
      </c>
      <c r="C18" s="36" t="inlineStr">
        <is>
          <t>N/A</t>
        </is>
      </c>
      <c r="D18" s="36" t="inlineStr">
        <is>
          <t>N/A</t>
        </is>
      </c>
      <c r="E18" s="31" t="inlineStr">
        <is>
          <t>Unavailable</t>
        </is>
      </c>
      <c r="F18" s="31" t="inlineStr">
        <is>
          <t>Not disclosed precisely in current source set</t>
        </is>
      </c>
      <c r="G18" s="31" t="inlineStr">
        <is>
          <t>Do not guess</t>
        </is>
      </c>
    </row>
    <row r="19" ht="30" customHeight="1">
      <c r="A19" s="28" t="inlineStr">
        <is>
          <t>Net proceeds</t>
        </is>
      </c>
      <c r="B19" s="28" t="inlineStr">
        <is>
          <t>VND bn</t>
        </is>
      </c>
      <c r="C19" s="39" t="inlineStr">
        <is>
          <t>N/A</t>
        </is>
      </c>
      <c r="D19" s="39">
        <f>IF(ISNUMBER(D18),D12-D18,"N/A")</f>
        <v/>
      </c>
      <c r="E19" s="28" t="inlineStr">
        <is>
          <t>Unavailable until issue costs verified</t>
        </is>
      </c>
      <c r="F19" s="28" t="inlineStr">
        <is>
          <t>Gross proceeds − issue costs</t>
        </is>
      </c>
      <c r="G19" s="28" t="inlineStr">
        <is>
          <t>No double count in equity bridge</t>
        </is>
      </c>
    </row>
    <row r="20" ht="30" customHeight="1">
      <c r="A20" s="31" t="inlineStr">
        <is>
          <t>Additional IPO proceeds in DCF bridge</t>
        </is>
      </c>
      <c r="B20" s="31" t="inlineStr">
        <is>
          <t>VND bn</t>
        </is>
      </c>
      <c r="C20" s="41" t="n">
        <v>0</v>
      </c>
      <c r="D20" s="41" t="n">
        <v>0</v>
      </c>
      <c r="E20" s="31" t="inlineStr">
        <is>
          <t>Control</t>
        </is>
      </c>
      <c r="F20" s="31" t="inlineStr">
        <is>
          <t>Post-IPO balance sheet convention</t>
        </is>
      </c>
      <c r="G20" s="31" t="inlineStr">
        <is>
          <t>Must remain zero because proceeds enter cash once</t>
        </is>
      </c>
      <c r="H20" s="30">
        <f>IF(D20=0,"PASS","FAIL")</f>
        <v/>
      </c>
    </row>
    <row r="23">
      <c r="A23" s="42" t="inlineStr">
        <is>
          <t>Accounting boundary: this is a primary issuance. Gross proceeds belong to DMX, not MWG. Under the post-IPO balance-sheet convention used in the DCF, cash/debt are taken from the latest available actual balance sheet and additional IPO proceeds remain zero. Exact MWG share ownership is not inferred from the rounded 'nearly 86%' announcement.</t>
        </is>
      </c>
    </row>
    <row r="24"/>
    <row r="25"/>
  </sheetData>
  <mergeCells count="3">
    <mergeCell ref="A23:H25"/>
    <mergeCell ref="A2:H2"/>
    <mergeCell ref="A1:H1"/>
  </mergeCells>
  <conditionalFormatting sqref="H5:H20">
    <cfRule type="expression" priority="1" dxfId="0">
      <formula>LEFT(H5,4)="PASS"</formula>
    </cfRule>
    <cfRule type="expression" priority="2" dxfId="1">
      <formula>LEFT(H5,4)="FAIL"</formula>
    </cfRule>
    <cfRule type="expression" priority="3" dxfId="2">
      <formula>LEFT(H5,4)="WARN"</formula>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4.xml><?xml version="1.0" encoding="utf-8"?>
<worksheet xmlns="http://schemas.openxmlformats.org/spreadsheetml/2006/main">
  <sheetPr>
    <tabColor rgb="0000A6A6"/>
    <outlinePr summaryBelow="1" summaryRight="1"/>
    <pageSetUpPr fitToPage="1"/>
  </sheetPr>
  <dimension ref="A1:N53"/>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36" customWidth="1" min="2" max="2"/>
    <col width="13" customWidth="1" min="3" max="3"/>
    <col width="18" customWidth="1" min="4" max="4"/>
    <col width="18" customWidth="1" min="5" max="5"/>
    <col width="14" customWidth="1" min="6" max="6"/>
    <col width="19" customWidth="1" min="7" max="7"/>
    <col width="28" customWidth="1" min="8" max="8"/>
    <col width="16" customWidth="1" min="9" max="9"/>
    <col width="45" customWidth="1" min="10" max="10"/>
    <col hidden="1" width="13" customWidth="1" min="12" max="12"/>
    <col hidden="1" width="13" customWidth="1" min="13" max="13"/>
    <col hidden="1" width="13" customWidth="1" min="14" max="14"/>
  </cols>
  <sheetData>
    <row r="1" ht="31" customHeight="1">
      <c r="A1" s="20" t="inlineStr">
        <is>
          <t>DMX Q1 2026 actuals</t>
        </is>
      </c>
      <c r="N1" s="43" t="inlineStr">
        <is>
          <t>← Cover</t>
        </is>
      </c>
    </row>
    <row r="2" ht="23" customHeight="1">
      <c r="A2" s="21" t="inlineStr">
        <is>
          <t>Consolidated issuer data pack; reported signs preserved. P&amp;L/CF compare Q1; BS compares 31-Mar-2026 with 31-Dec-2025.</t>
        </is>
      </c>
      <c r="L2" t="inlineStr">
        <is>
          <t>Metric</t>
        </is>
      </c>
      <c r="M2" t="inlineStr">
        <is>
          <t>Q1 2026</t>
        </is>
      </c>
      <c r="N2" t="inlineStr">
        <is>
          <t>Q1 2025</t>
        </is>
      </c>
    </row>
    <row r="3">
      <c r="L3" t="inlineStr">
        <is>
          <t>Revenue</t>
        </is>
      </c>
      <c r="M3">
        <f>D6</f>
        <v/>
      </c>
      <c r="N3">
        <f>E6</f>
        <v/>
      </c>
    </row>
    <row r="4" ht="30" customHeight="1">
      <c r="A4" s="14" t="inlineStr">
        <is>
          <t>Statement</t>
        </is>
      </c>
      <c r="B4" s="14" t="inlineStr">
        <is>
          <t>Line item</t>
        </is>
      </c>
      <c r="C4" s="14" t="inlineStr">
        <is>
          <t>Unit</t>
        </is>
      </c>
      <c r="D4" s="14" t="inlineStr">
        <is>
          <t>Current period</t>
        </is>
      </c>
      <c r="E4" s="14" t="inlineStr">
        <is>
          <t>Comparator</t>
        </is>
      </c>
      <c r="F4" s="14" t="inlineStr">
        <is>
          <t>Change / ratio</t>
        </is>
      </c>
      <c r="G4" s="14" t="inlineStr">
        <is>
          <t>Source ID</t>
        </is>
      </c>
      <c r="H4" s="14" t="inlineStr">
        <is>
          <t>Source locator</t>
        </is>
      </c>
      <c r="I4" s="14" t="inlineStr">
        <is>
          <t>Status</t>
        </is>
      </c>
      <c r="J4" s="14" t="inlineStr">
        <is>
          <t>Notes</t>
        </is>
      </c>
      <c r="L4" t="inlineStr">
        <is>
          <t>Gross profit</t>
        </is>
      </c>
      <c r="M4">
        <f>D8</f>
        <v/>
      </c>
      <c r="N4">
        <f>E8</f>
        <v/>
      </c>
    </row>
    <row r="5" ht="20" customHeight="1">
      <c r="A5" s="44" t="inlineStr">
        <is>
          <t>INCOME STATEMENT — Q1 2026 vs Q1 2025 | VND bn except EPS and ratios</t>
        </is>
      </c>
      <c r="L5" t="inlineStr">
        <is>
          <t>NPAT</t>
        </is>
      </c>
      <c r="M5">
        <f>D20</f>
        <v/>
      </c>
      <c r="N5">
        <f>E20</f>
        <v/>
      </c>
    </row>
    <row r="6" ht="27" customHeight="1">
      <c r="A6" s="31" t="inlineStr">
        <is>
          <t>IS</t>
        </is>
      </c>
      <c r="B6" s="31" t="inlineStr">
        <is>
          <t>Net revenue</t>
        </is>
      </c>
      <c r="C6" s="31" t="inlineStr">
        <is>
          <t>VND bn</t>
        </is>
      </c>
      <c r="D6" s="45" t="n">
        <v>32541.95009189</v>
      </c>
      <c r="E6" s="45" t="n">
        <v>25153.558068114</v>
      </c>
      <c r="F6" s="46">
        <f>ABS(D6)/ABS(E6)-1</f>
        <v/>
      </c>
      <c r="G6" s="31" t="inlineStr">
        <is>
          <t>DMX-Q1-2026</t>
        </is>
      </c>
      <c r="H6" s="31" t="inlineStr">
        <is>
          <t>Income Statement — Net revenue</t>
        </is>
      </c>
      <c r="I6" s="31" t="inlineStr">
        <is>
          <t>Actual</t>
        </is>
      </c>
      <c r="J6" s="31" t="inlineStr"/>
    </row>
    <row r="7" ht="27" customHeight="1">
      <c r="A7" s="28" t="inlineStr">
        <is>
          <t>IS</t>
        </is>
      </c>
      <c r="B7" s="28" t="inlineStr">
        <is>
          <t>Cost of goods sold</t>
        </is>
      </c>
      <c r="C7" s="28" t="inlineStr">
        <is>
          <t>VND bn</t>
        </is>
      </c>
      <c r="D7" s="47" t="n">
        <v>-26300.7287794</v>
      </c>
      <c r="E7" s="47" t="n">
        <v>-20627.386516636</v>
      </c>
      <c r="F7" s="48">
        <f>ABS(D7)/ABS(E7)-1</f>
        <v/>
      </c>
      <c r="G7" s="28" t="inlineStr">
        <is>
          <t>DMX-Q1-2026</t>
        </is>
      </c>
      <c r="H7" s="28" t="inlineStr">
        <is>
          <t>Income Statement — Cost of goods sold</t>
        </is>
      </c>
      <c r="I7" s="28" t="inlineStr">
        <is>
          <t>Actual</t>
        </is>
      </c>
      <c r="J7" s="28" t="inlineStr">
        <is>
          <t>Reported as a negative expense</t>
        </is>
      </c>
    </row>
    <row r="8" ht="27" customHeight="1">
      <c r="A8" s="31" t="inlineStr">
        <is>
          <t>IS</t>
        </is>
      </c>
      <c r="B8" s="31" t="inlineStr">
        <is>
          <t>Gross profit</t>
        </is>
      </c>
      <c r="C8" s="31" t="inlineStr">
        <is>
          <t>VND bn</t>
        </is>
      </c>
      <c r="D8" s="45" t="n">
        <v>6241.22131249</v>
      </c>
      <c r="E8" s="45" t="n">
        <v>4526.171551478</v>
      </c>
      <c r="F8" s="46">
        <f>D8/E8-1</f>
        <v/>
      </c>
      <c r="G8" s="31" t="inlineStr">
        <is>
          <t>DMX-Q1-2026</t>
        </is>
      </c>
      <c r="H8" s="31" t="inlineStr">
        <is>
          <t>Income Statement — Gross profit</t>
        </is>
      </c>
      <c r="I8" s="31" t="inlineStr">
        <is>
          <t>Actual</t>
        </is>
      </c>
      <c r="J8" s="31" t="inlineStr"/>
    </row>
    <row r="9" ht="27" customHeight="1">
      <c r="A9" s="49" t="inlineStr">
        <is>
          <t>IS</t>
        </is>
      </c>
      <c r="B9" s="49" t="inlineStr">
        <is>
          <t>Gross margin</t>
        </is>
      </c>
      <c r="C9" s="28" t="inlineStr">
        <is>
          <t>%</t>
        </is>
      </c>
      <c r="D9" s="50">
        <f>D8/D6</f>
        <v/>
      </c>
      <c r="E9" s="50">
        <f>E8/E6</f>
        <v/>
      </c>
      <c r="F9" s="50">
        <f>D9-E9</f>
        <v/>
      </c>
      <c r="G9" s="28" t="inlineStr">
        <is>
          <t>MODEL-FORMULA</t>
        </is>
      </c>
      <c r="H9" s="28" t="inlineStr">
        <is>
          <t>Gross profit / net revenue</t>
        </is>
      </c>
      <c r="I9" s="28" t="inlineStr">
        <is>
          <t>Calculated</t>
        </is>
      </c>
      <c r="J9" s="28" t="inlineStr">
        <is>
          <t>Change shown in percentage points</t>
        </is>
      </c>
    </row>
    <row r="10" ht="27" customHeight="1">
      <c r="A10" s="31" t="inlineStr">
        <is>
          <t>IS</t>
        </is>
      </c>
      <c r="B10" s="31" t="inlineStr">
        <is>
          <t>Financial income</t>
        </is>
      </c>
      <c r="C10" s="31" t="inlineStr">
        <is>
          <t>VND bn</t>
        </is>
      </c>
      <c r="D10" s="45" t="n">
        <v>512.117161615</v>
      </c>
      <c r="E10" s="45" t="n">
        <v>436.15196836</v>
      </c>
      <c r="F10" s="46">
        <f>D10/E10-1</f>
        <v/>
      </c>
      <c r="G10" s="31" t="inlineStr">
        <is>
          <t>DMX-Q1-2026</t>
        </is>
      </c>
      <c r="H10" s="31" t="inlineStr">
        <is>
          <t>Income Statement — Financial income</t>
        </is>
      </c>
      <c r="I10" s="31" t="inlineStr">
        <is>
          <t>Actual</t>
        </is>
      </c>
      <c r="J10" s="31" t="inlineStr"/>
    </row>
    <row r="11" ht="27" customHeight="1">
      <c r="A11" s="28" t="inlineStr">
        <is>
          <t>IS</t>
        </is>
      </c>
      <c r="B11" s="28" t="inlineStr">
        <is>
          <t>Financial expense</t>
        </is>
      </c>
      <c r="C11" s="28" t="inlineStr">
        <is>
          <t>VND bn</t>
        </is>
      </c>
      <c r="D11" s="47" t="n">
        <v>-326.141821808</v>
      </c>
      <c r="E11" s="47" t="n">
        <v>-202.423284684</v>
      </c>
      <c r="F11" s="48">
        <f>ABS(D11)/ABS(E11)-1</f>
        <v/>
      </c>
      <c r="G11" s="28" t="inlineStr">
        <is>
          <t>DMX-Q1-2026</t>
        </is>
      </c>
      <c r="H11" s="28" t="inlineStr">
        <is>
          <t>Income Statement — Financial expense</t>
        </is>
      </c>
      <c r="I11" s="28" t="inlineStr">
        <is>
          <t>Actual</t>
        </is>
      </c>
      <c r="J11" s="28" t="inlineStr">
        <is>
          <t>Reported as a negative expense</t>
        </is>
      </c>
    </row>
    <row r="12" ht="27" customHeight="1">
      <c r="A12" s="31" t="inlineStr">
        <is>
          <t>IS</t>
        </is>
      </c>
      <c r="B12" s="31" t="inlineStr">
        <is>
          <t>Interest expense</t>
        </is>
      </c>
      <c r="C12" s="31" t="inlineStr">
        <is>
          <t>VND bn</t>
        </is>
      </c>
      <c r="D12" s="45" t="n">
        <v>-324.569874029</v>
      </c>
      <c r="E12" s="45" t="n">
        <v>-201.641796928</v>
      </c>
      <c r="F12" s="46">
        <f>ABS(D12)/ABS(E12)-1</f>
        <v/>
      </c>
      <c r="G12" s="31" t="inlineStr">
        <is>
          <t>DMX-Q1-2026</t>
        </is>
      </c>
      <c r="H12" s="31" t="inlineStr">
        <is>
          <t>Income Statement — Interest expense</t>
        </is>
      </c>
      <c r="I12" s="31" t="inlineStr">
        <is>
          <t>Actual</t>
        </is>
      </c>
      <c r="J12" s="31" t="inlineStr"/>
    </row>
    <row r="13" ht="27" customHeight="1">
      <c r="A13" s="28" t="inlineStr">
        <is>
          <t>IS</t>
        </is>
      </c>
      <c r="B13" s="28" t="inlineStr">
        <is>
          <t>Selling expense</t>
        </is>
      </c>
      <c r="C13" s="28" t="inlineStr">
        <is>
          <t>VND bn</t>
        </is>
      </c>
      <c r="D13" s="47" t="n">
        <v>-2438.374451087</v>
      </c>
      <c r="E13" s="47" t="n">
        <v>-2139.579773103</v>
      </c>
      <c r="F13" s="48">
        <f>ABS(D13)/ABS(E13)-1</f>
        <v/>
      </c>
      <c r="G13" s="28" t="inlineStr">
        <is>
          <t>DMX-Q1-2026</t>
        </is>
      </c>
      <c r="H13" s="28" t="inlineStr">
        <is>
          <t>Income Statement — Selling expense</t>
        </is>
      </c>
      <c r="I13" s="28" t="inlineStr">
        <is>
          <t>Actual</t>
        </is>
      </c>
      <c r="J13" s="28" t="inlineStr"/>
    </row>
    <row r="14" ht="27" customHeight="1">
      <c r="A14" s="31" t="inlineStr">
        <is>
          <t>IS</t>
        </is>
      </c>
      <c r="B14" s="31" t="inlineStr">
        <is>
          <t>G&amp;A expense</t>
        </is>
      </c>
      <c r="C14" s="31" t="inlineStr">
        <is>
          <t>VND bn</t>
        </is>
      </c>
      <c r="D14" s="45" t="n">
        <v>-1225.141003222</v>
      </c>
      <c r="E14" s="45" t="n">
        <v>-771.423462048</v>
      </c>
      <c r="F14" s="46">
        <f>ABS(D14)/ABS(E14)-1</f>
        <v/>
      </c>
      <c r="G14" s="31" t="inlineStr">
        <is>
          <t>DMX-Q1-2026</t>
        </is>
      </c>
      <c r="H14" s="31" t="inlineStr">
        <is>
          <t>Income Statement — G&amp;A expense</t>
        </is>
      </c>
      <c r="I14" s="31" t="inlineStr">
        <is>
          <t>Actual</t>
        </is>
      </c>
      <c r="J14" s="31" t="inlineStr"/>
    </row>
    <row r="15" ht="27" customHeight="1">
      <c r="A15" s="28" t="inlineStr">
        <is>
          <t>IS</t>
        </is>
      </c>
      <c r="B15" s="28" t="inlineStr">
        <is>
          <t>Share of profit from JV</t>
        </is>
      </c>
      <c r="C15" s="28" t="inlineStr">
        <is>
          <t>VND bn</t>
        </is>
      </c>
      <c r="D15" s="47" t="n">
        <v>9.011741927999999</v>
      </c>
      <c r="E15" s="47" t="n">
        <v>3.1297743</v>
      </c>
      <c r="F15" s="48">
        <f>D15/E15-1</f>
        <v/>
      </c>
      <c r="G15" s="28" t="inlineStr">
        <is>
          <t>DMX-Q1-2026</t>
        </is>
      </c>
      <c r="H15" s="28" t="inlineStr">
        <is>
          <t>Income Statement — Share of JV profit</t>
        </is>
      </c>
      <c r="I15" s="28" t="inlineStr">
        <is>
          <t>Actual</t>
        </is>
      </c>
      <c r="J15" s="28" t="inlineStr">
        <is>
          <t>EraBlue is treated as a JV perimeter control</t>
        </is>
      </c>
    </row>
    <row r="16" ht="27" customHeight="1">
      <c r="A16" s="31" t="inlineStr">
        <is>
          <t>IS</t>
        </is>
      </c>
      <c r="B16" s="31" t="inlineStr">
        <is>
          <t>Operating profit</t>
        </is>
      </c>
      <c r="C16" s="31" t="inlineStr">
        <is>
          <t>VND bn</t>
        </is>
      </c>
      <c r="D16" s="45" t="n">
        <v>2772.692939916</v>
      </c>
      <c r="E16" s="45" t="n">
        <v>1852.026774303</v>
      </c>
      <c r="F16" s="46">
        <f>D16/E16-1</f>
        <v/>
      </c>
      <c r="G16" s="31" t="inlineStr">
        <is>
          <t>DMX-Q1-2026</t>
        </is>
      </c>
      <c r="H16" s="31" t="inlineStr">
        <is>
          <t>Income Statement — Operating profit</t>
        </is>
      </c>
      <c r="I16" s="31" t="inlineStr">
        <is>
          <t>Actual</t>
        </is>
      </c>
      <c r="J16" s="31" t="inlineStr"/>
    </row>
    <row r="17" ht="27" customHeight="1">
      <c r="A17" s="49" t="inlineStr">
        <is>
          <t>IS</t>
        </is>
      </c>
      <c r="B17" s="49" t="inlineStr">
        <is>
          <t>Operating margin</t>
        </is>
      </c>
      <c r="C17" s="28" t="inlineStr">
        <is>
          <t>%</t>
        </is>
      </c>
      <c r="D17" s="50">
        <f>D16/D6</f>
        <v/>
      </c>
      <c r="E17" s="50">
        <f>E16/E6</f>
        <v/>
      </c>
      <c r="F17" s="50">
        <f>D17-E17</f>
        <v/>
      </c>
      <c r="G17" s="28" t="inlineStr">
        <is>
          <t>MODEL-FORMULA</t>
        </is>
      </c>
      <c r="H17" s="28" t="inlineStr">
        <is>
          <t>Operating profit / revenue</t>
        </is>
      </c>
      <c r="I17" s="28" t="inlineStr">
        <is>
          <t>Calculated</t>
        </is>
      </c>
      <c r="J17" s="28" t="inlineStr">
        <is>
          <t>Company line includes finance and JV effects; not used as DCF EBIT</t>
        </is>
      </c>
    </row>
    <row r="18" ht="27" customHeight="1">
      <c r="A18" s="31" t="inlineStr">
        <is>
          <t>IS</t>
        </is>
      </c>
      <c r="B18" s="31" t="inlineStr">
        <is>
          <t>Profit before tax</t>
        </is>
      </c>
      <c r="C18" s="31" t="inlineStr">
        <is>
          <t>VND bn</t>
        </is>
      </c>
      <c r="D18" s="45" t="n">
        <v>2775.441460755</v>
      </c>
      <c r="E18" s="45" t="n">
        <v>1856.564880868</v>
      </c>
      <c r="F18" s="46">
        <f>D18/E18-1</f>
        <v/>
      </c>
      <c r="G18" s="31" t="inlineStr">
        <is>
          <t>DMX-Q1-2026</t>
        </is>
      </c>
      <c r="H18" s="31" t="inlineStr">
        <is>
          <t>Income Statement — Profit before tax</t>
        </is>
      </c>
      <c r="I18" s="31" t="inlineStr">
        <is>
          <t>Actual</t>
        </is>
      </c>
      <c r="J18" s="31" t="inlineStr"/>
    </row>
    <row r="19" ht="27" customHeight="1">
      <c r="A19" s="28" t="inlineStr">
        <is>
          <t>IS</t>
        </is>
      </c>
      <c r="B19" s="28" t="inlineStr">
        <is>
          <t>Income tax expense</t>
        </is>
      </c>
      <c r="C19" s="28" t="inlineStr">
        <is>
          <t>VND bn</t>
        </is>
      </c>
      <c r="D19" s="47" t="n">
        <v>-556.874594506</v>
      </c>
      <c r="E19" s="47" t="n">
        <v>-378.189500224</v>
      </c>
      <c r="F19" s="48">
        <f>ABS(D19)/ABS(E19)-1</f>
        <v/>
      </c>
      <c r="G19" s="28" t="inlineStr">
        <is>
          <t>DMX-Q1-2026</t>
        </is>
      </c>
      <c r="H19" s="28" t="inlineStr">
        <is>
          <t>Income Statement — current + deferred tax</t>
        </is>
      </c>
      <c r="I19" s="28" t="inlineStr">
        <is>
          <t>Actual</t>
        </is>
      </c>
      <c r="J19" s="28" t="inlineStr"/>
    </row>
    <row r="20" ht="27" customHeight="1">
      <c r="A20" s="31" t="inlineStr">
        <is>
          <t>IS</t>
        </is>
      </c>
      <c r="B20" s="31" t="inlineStr">
        <is>
          <t>Net profit after tax</t>
        </is>
      </c>
      <c r="C20" s="31" t="inlineStr">
        <is>
          <t>VND bn</t>
        </is>
      </c>
      <c r="D20" s="45" t="n">
        <v>2218.566866249</v>
      </c>
      <c r="E20" s="45" t="n">
        <v>1478.375380644</v>
      </c>
      <c r="F20" s="46">
        <f>D20/E20-1</f>
        <v/>
      </c>
      <c r="G20" s="31" t="inlineStr">
        <is>
          <t>DMX-Q1-2026</t>
        </is>
      </c>
      <c r="H20" s="31" t="inlineStr">
        <is>
          <t>Income Statement — NPAT</t>
        </is>
      </c>
      <c r="I20" s="31" t="inlineStr">
        <is>
          <t>Actual</t>
        </is>
      </c>
      <c r="J20" s="31" t="inlineStr"/>
    </row>
    <row r="21" ht="27" customHeight="1">
      <c r="A21" s="49" t="inlineStr">
        <is>
          <t>IS</t>
        </is>
      </c>
      <c r="B21" s="49" t="inlineStr">
        <is>
          <t>NPAT margin</t>
        </is>
      </c>
      <c r="C21" s="28" t="inlineStr">
        <is>
          <t>%</t>
        </is>
      </c>
      <c r="D21" s="50">
        <f>D20/D6</f>
        <v/>
      </c>
      <c r="E21" s="50">
        <f>E20/E6</f>
        <v/>
      </c>
      <c r="F21" s="50">
        <f>D21-E21</f>
        <v/>
      </c>
      <c r="G21" s="28" t="inlineStr">
        <is>
          <t>MODEL-FORMULA</t>
        </is>
      </c>
      <c r="H21" s="28" t="inlineStr">
        <is>
          <t>NPAT / revenue</t>
        </is>
      </c>
      <c r="I21" s="28" t="inlineStr">
        <is>
          <t>Calculated</t>
        </is>
      </c>
      <c r="J21" s="28" t="inlineStr">
        <is>
          <t>Change shown in percentage points</t>
        </is>
      </c>
    </row>
    <row r="22" ht="27" customHeight="1">
      <c r="A22" s="31" t="inlineStr">
        <is>
          <t>IS</t>
        </is>
      </c>
      <c r="B22" s="31" t="inlineStr">
        <is>
          <t>Basic EPS</t>
        </is>
      </c>
      <c r="C22" s="31" t="inlineStr">
        <is>
          <t>VND/share</t>
        </is>
      </c>
      <c r="D22" s="51" t="n">
        <v>2015</v>
      </c>
      <c r="E22" s="51" t="n">
        <v>1342</v>
      </c>
      <c r="F22" s="52">
        <f>D22/E22-1</f>
        <v/>
      </c>
      <c r="G22" s="31" t="inlineStr">
        <is>
          <t>DMX-Q1-2026</t>
        </is>
      </c>
      <c r="H22" s="31" t="inlineStr">
        <is>
          <t>Income Statement — Basic EPS</t>
        </is>
      </c>
      <c r="I22" s="31" t="inlineStr">
        <is>
          <t>Actual</t>
        </is>
      </c>
      <c r="J22" s="31" t="inlineStr"/>
    </row>
    <row r="24" ht="20" customHeight="1">
      <c r="A24" s="44" t="inlineStr">
        <is>
          <t>BALANCE SHEET — 31-Mar-2026 vs 31-Dec-2025 | VND bn</t>
        </is>
      </c>
    </row>
    <row r="25" ht="27" customHeight="1">
      <c r="A25" s="28" t="inlineStr">
        <is>
          <t>BS</t>
        </is>
      </c>
      <c r="B25" s="28" t="inlineStr">
        <is>
          <t>Cash &amp; cash equivalents</t>
        </is>
      </c>
      <c r="C25" s="28" t="inlineStr">
        <is>
          <t>VND bn</t>
        </is>
      </c>
      <c r="D25" s="47" t="n">
        <v>3312.678561377</v>
      </c>
      <c r="E25" s="47" t="n">
        <v>3578.154917657</v>
      </c>
      <c r="F25" s="48">
        <f>IFERROR(D25/E25-1,"N/A")</f>
        <v/>
      </c>
      <c r="G25" s="28" t="inlineStr">
        <is>
          <t>DMX-Q1-2026</t>
        </is>
      </c>
      <c r="H25" s="28" t="inlineStr">
        <is>
          <t>Balance Sheet — Cash &amp; cash equivalents</t>
        </is>
      </c>
      <c r="I25" s="28" t="inlineStr">
        <is>
          <t>Actual</t>
        </is>
      </c>
      <c r="J25" s="28" t="inlineStr"/>
    </row>
    <row r="26" ht="27" customHeight="1">
      <c r="A26" s="31" t="inlineStr">
        <is>
          <t>BS</t>
        </is>
      </c>
      <c r="B26" s="31" t="inlineStr">
        <is>
          <t>Short-term held-to-maturity investments</t>
        </is>
      </c>
      <c r="C26" s="31" t="inlineStr">
        <is>
          <t>VND bn</t>
        </is>
      </c>
      <c r="D26" s="45" t="n">
        <v>25255.708750726</v>
      </c>
      <c r="E26" s="45" t="n">
        <v>25246.51512404</v>
      </c>
      <c r="F26" s="46">
        <f>IFERROR(D26/E26-1,"N/A")</f>
        <v/>
      </c>
      <c r="G26" s="31" t="inlineStr">
        <is>
          <t>DMX-Q1-2026</t>
        </is>
      </c>
      <c r="H26" s="31" t="inlineStr">
        <is>
          <t>Balance Sheet — Short-term investments</t>
        </is>
      </c>
      <c r="I26" s="31" t="inlineStr">
        <is>
          <t>Actual</t>
        </is>
      </c>
      <c r="J26" s="31" t="inlineStr"/>
    </row>
    <row r="27" ht="27" customHeight="1">
      <c r="A27" s="28" t="inlineStr">
        <is>
          <t>BS</t>
        </is>
      </c>
      <c r="B27" s="28" t="inlineStr">
        <is>
          <t>Long-term held-to-maturity investments</t>
        </is>
      </c>
      <c r="C27" s="28" t="inlineStr">
        <is>
          <t>VND bn</t>
        </is>
      </c>
      <c r="D27" s="47" t="n">
        <v>1499.5024</v>
      </c>
      <c r="E27" s="47" t="n">
        <v>1400</v>
      </c>
      <c r="F27" s="48">
        <f>IFERROR(D27/E27-1,"N/A")</f>
        <v/>
      </c>
      <c r="G27" s="28" t="inlineStr">
        <is>
          <t>DMX-Q1-2026</t>
        </is>
      </c>
      <c r="H27" s="28" t="inlineStr">
        <is>
          <t>Balance Sheet — Long-term held-to-maturity investments</t>
        </is>
      </c>
      <c r="I27" s="28" t="inlineStr">
        <is>
          <t>Actual</t>
        </is>
      </c>
      <c r="J27" s="28" t="inlineStr"/>
    </row>
    <row r="28" ht="27" customHeight="1">
      <c r="A28" s="49" t="inlineStr">
        <is>
          <t>BS</t>
        </is>
      </c>
      <c r="B28" s="49" t="inlineStr">
        <is>
          <t>Cash + term deposits</t>
        </is>
      </c>
      <c r="C28" s="31" t="inlineStr">
        <is>
          <t>VND bn</t>
        </is>
      </c>
      <c r="D28" s="46">
        <f>D25+D26+D27</f>
        <v/>
      </c>
      <c r="E28" s="46">
        <f>E25+E26+E27</f>
        <v/>
      </c>
      <c r="F28" s="46">
        <f>IFERROR(D28/E28-1,"N/A")</f>
        <v/>
      </c>
      <c r="G28" s="31" t="inlineStr">
        <is>
          <t>MODEL-FORMULA</t>
        </is>
      </c>
      <c r="H28" s="31" t="inlineStr">
        <is>
          <t>Cash + short-term investments + long-term deposits</t>
        </is>
      </c>
      <c r="I28" s="31" t="inlineStr">
        <is>
          <t>Calculated</t>
        </is>
      </c>
      <c r="J28" s="31" t="inlineStr"/>
    </row>
    <row r="29" ht="27" customHeight="1">
      <c r="A29" s="28" t="inlineStr">
        <is>
          <t>BS</t>
        </is>
      </c>
      <c r="B29" s="28" t="inlineStr">
        <is>
          <t>Current receivables</t>
        </is>
      </c>
      <c r="C29" s="28" t="inlineStr">
        <is>
          <t>VND bn</t>
        </is>
      </c>
      <c r="D29" s="47" t="n">
        <v>1612.050831121</v>
      </c>
      <c r="E29" s="47" t="n">
        <v>1432.56488899</v>
      </c>
      <c r="F29" s="48">
        <f>IFERROR(D29/E29-1,"N/A")</f>
        <v/>
      </c>
      <c r="G29" s="28" t="inlineStr">
        <is>
          <t>DMX-Q1-2026</t>
        </is>
      </c>
      <c r="H29" s="28" t="inlineStr">
        <is>
          <t>Balance Sheet — Current receivables</t>
        </is>
      </c>
      <c r="I29" s="28" t="inlineStr">
        <is>
          <t>Actual</t>
        </is>
      </c>
      <c r="J29" s="28" t="inlineStr"/>
    </row>
    <row r="30" ht="27" customHeight="1">
      <c r="A30" s="31" t="inlineStr">
        <is>
          <t>BS</t>
        </is>
      </c>
      <c r="B30" s="31" t="inlineStr">
        <is>
          <t>Inventory, net</t>
        </is>
      </c>
      <c r="C30" s="31" t="inlineStr">
        <is>
          <t>VND bn</t>
        </is>
      </c>
      <c r="D30" s="45" t="n">
        <v>23054.446543337</v>
      </c>
      <c r="E30" s="45" t="n">
        <v>22759.101620225</v>
      </c>
      <c r="F30" s="46">
        <f>IFERROR(D30/E30-1,"N/A")</f>
        <v/>
      </c>
      <c r="G30" s="31" t="inlineStr">
        <is>
          <t>DMX-Q1-2026</t>
        </is>
      </c>
      <c r="H30" s="31" t="inlineStr">
        <is>
          <t>Balance Sheet — Inventories</t>
        </is>
      </c>
      <c r="I30" s="31" t="inlineStr">
        <is>
          <t>Actual</t>
        </is>
      </c>
      <c r="J30" s="31" t="inlineStr"/>
    </row>
    <row r="31" ht="27" customHeight="1">
      <c r="A31" s="28" t="inlineStr">
        <is>
          <t>BS</t>
        </is>
      </c>
      <c r="B31" s="28" t="inlineStr">
        <is>
          <t>Inventory provision</t>
        </is>
      </c>
      <c r="C31" s="28" t="inlineStr">
        <is>
          <t>VND bn</t>
        </is>
      </c>
      <c r="D31" s="47" t="n">
        <v>-749.0323563109999</v>
      </c>
      <c r="E31" s="47" t="n">
        <v>-609.594155009</v>
      </c>
      <c r="F31" s="48">
        <f>IFERROR(D31/E31-1,"N/A")</f>
        <v/>
      </c>
      <c r="G31" s="28" t="inlineStr">
        <is>
          <t>DMX-Q1-2026</t>
        </is>
      </c>
      <c r="H31" s="28" t="inlineStr">
        <is>
          <t>Balance Sheet — Inventory provision</t>
        </is>
      </c>
      <c r="I31" s="28" t="inlineStr">
        <is>
          <t>Actual</t>
        </is>
      </c>
      <c r="J31" s="28" t="inlineStr"/>
    </row>
    <row r="32" ht="27" customHeight="1">
      <c r="A32" s="31" t="inlineStr">
        <is>
          <t>BS</t>
        </is>
      </c>
      <c r="B32" s="31" t="inlineStr">
        <is>
          <t>Fixed assets, net</t>
        </is>
      </c>
      <c r="C32" s="31" t="inlineStr">
        <is>
          <t>VND bn</t>
        </is>
      </c>
      <c r="D32" s="45" t="n">
        <v>751.596973808</v>
      </c>
      <c r="E32" s="45" t="n">
        <v>840.472791325</v>
      </c>
      <c r="F32" s="46">
        <f>IFERROR(D32/E32-1,"N/A")</f>
        <v/>
      </c>
      <c r="G32" s="31" t="inlineStr">
        <is>
          <t>DMX-Q1-2026</t>
        </is>
      </c>
      <c r="H32" s="31" t="inlineStr">
        <is>
          <t>Balance Sheet — Fixed assets</t>
        </is>
      </c>
      <c r="I32" s="31" t="inlineStr">
        <is>
          <t>Actual</t>
        </is>
      </c>
      <c r="J32" s="31" t="inlineStr"/>
    </row>
    <row r="33" ht="27" customHeight="1">
      <c r="A33" s="28" t="inlineStr">
        <is>
          <t>BS</t>
        </is>
      </c>
      <c r="B33" s="28" t="inlineStr">
        <is>
          <t>Investment in jointly controlled entity</t>
        </is>
      </c>
      <c r="C33" s="28" t="inlineStr">
        <is>
          <t>VND bn</t>
        </is>
      </c>
      <c r="D33" s="47" t="n">
        <v>502.561163711</v>
      </c>
      <c r="E33" s="47" t="n">
        <v>371.159064528</v>
      </c>
      <c r="F33" s="48">
        <f>IFERROR(D33/E33-1,"N/A")</f>
        <v/>
      </c>
      <c r="G33" s="28" t="inlineStr">
        <is>
          <t>DMX-Q1-2026</t>
        </is>
      </c>
      <c r="H33" s="28" t="inlineStr">
        <is>
          <t>Balance Sheet — JV investment</t>
        </is>
      </c>
      <c r="I33" s="28" t="inlineStr">
        <is>
          <t>Actual</t>
        </is>
      </c>
      <c r="J33" s="28" t="inlineStr"/>
    </row>
    <row r="34" ht="27" customHeight="1">
      <c r="A34" s="31" t="inlineStr">
        <is>
          <t>BS</t>
        </is>
      </c>
      <c r="B34" s="31" t="inlineStr">
        <is>
          <t>Total assets</t>
        </is>
      </c>
      <c r="C34" s="31" t="inlineStr">
        <is>
          <t>VND bn</t>
        </is>
      </c>
      <c r="D34" s="45" t="n">
        <v>57327.010309745</v>
      </c>
      <c r="E34" s="45" t="n">
        <v>56916.23786641</v>
      </c>
      <c r="F34" s="46">
        <f>IFERROR(D34/E34-1,"N/A")</f>
        <v/>
      </c>
      <c r="G34" s="31" t="inlineStr">
        <is>
          <t>DMX-Q1-2026</t>
        </is>
      </c>
      <c r="H34" s="31" t="inlineStr">
        <is>
          <t>Balance Sheet — Total assets</t>
        </is>
      </c>
      <c r="I34" s="31" t="inlineStr">
        <is>
          <t>Actual</t>
        </is>
      </c>
      <c r="J34" s="31" t="inlineStr"/>
    </row>
    <row r="35" ht="27" customHeight="1">
      <c r="A35" s="28" t="inlineStr">
        <is>
          <t>BS</t>
        </is>
      </c>
      <c r="B35" s="28" t="inlineStr">
        <is>
          <t>Short-term trade payables</t>
        </is>
      </c>
      <c r="C35" s="28" t="inlineStr">
        <is>
          <t>VND bn</t>
        </is>
      </c>
      <c r="D35" s="47" t="n">
        <v>8598.546695344001</v>
      </c>
      <c r="E35" s="47" t="n">
        <v>9701.594456166</v>
      </c>
      <c r="F35" s="48">
        <f>IFERROR(D35/E35-1,"N/A")</f>
        <v/>
      </c>
      <c r="G35" s="28" t="inlineStr">
        <is>
          <t>DMX-Q1-2026</t>
        </is>
      </c>
      <c r="H35" s="28" t="inlineStr">
        <is>
          <t>Balance Sheet — Trade payables</t>
        </is>
      </c>
      <c r="I35" s="28" t="inlineStr">
        <is>
          <t>Actual</t>
        </is>
      </c>
      <c r="J35" s="28" t="inlineStr"/>
    </row>
    <row r="36" ht="27" customHeight="1">
      <c r="A36" s="31" t="inlineStr">
        <is>
          <t>BS</t>
        </is>
      </c>
      <c r="B36" s="31" t="inlineStr">
        <is>
          <t>Short-term debt</t>
        </is>
      </c>
      <c r="C36" s="31" t="inlineStr">
        <is>
          <t>VND bn</t>
        </is>
      </c>
      <c r="D36" s="45" t="n">
        <v>22158.890775085</v>
      </c>
      <c r="E36" s="45" t="n">
        <v>23429.11431765</v>
      </c>
      <c r="F36" s="46">
        <f>IFERROR(D36/E36-1,"N/A")</f>
        <v/>
      </c>
      <c r="G36" s="31" t="inlineStr">
        <is>
          <t>DMX-Q1-2026</t>
        </is>
      </c>
      <c r="H36" s="31" t="inlineStr">
        <is>
          <t>Balance Sheet — Short-term loans</t>
        </is>
      </c>
      <c r="I36" s="31" t="inlineStr">
        <is>
          <t>Actual</t>
        </is>
      </c>
      <c r="J36" s="31" t="inlineStr"/>
    </row>
    <row r="37" ht="27" customHeight="1">
      <c r="A37" s="28" t="inlineStr">
        <is>
          <t>BS</t>
        </is>
      </c>
      <c r="B37" s="28" t="inlineStr">
        <is>
          <t>Total liabilities</t>
        </is>
      </c>
      <c r="C37" s="28" t="inlineStr">
        <is>
          <t>VND bn</t>
        </is>
      </c>
      <c r="D37" s="47" t="n">
        <v>37307.871832989</v>
      </c>
      <c r="E37" s="47" t="n">
        <v>39115.666255903</v>
      </c>
      <c r="F37" s="48">
        <f>IFERROR(D37/E37-1,"N/A")</f>
        <v/>
      </c>
      <c r="G37" s="28" t="inlineStr">
        <is>
          <t>DMX-Q1-2026</t>
        </is>
      </c>
      <c r="H37" s="28" t="inlineStr">
        <is>
          <t>Balance Sheet — Total liabilities</t>
        </is>
      </c>
      <c r="I37" s="28" t="inlineStr">
        <is>
          <t>Actual</t>
        </is>
      </c>
      <c r="J37" s="28" t="inlineStr"/>
    </row>
    <row r="38" ht="27" customHeight="1">
      <c r="A38" s="31" t="inlineStr">
        <is>
          <t>BS</t>
        </is>
      </c>
      <c r="B38" s="31" t="inlineStr">
        <is>
          <t>Total equity</t>
        </is>
      </c>
      <c r="C38" s="31" t="inlineStr">
        <is>
          <t>VND bn</t>
        </is>
      </c>
      <c r="D38" s="45" t="n">
        <v>20019.138476756</v>
      </c>
      <c r="E38" s="45" t="n">
        <v>17800.571610507</v>
      </c>
      <c r="F38" s="46">
        <f>IFERROR(D38/E38-1,"N/A")</f>
        <v/>
      </c>
      <c r="G38" s="31" t="inlineStr">
        <is>
          <t>DMX-Q1-2026</t>
        </is>
      </c>
      <c r="H38" s="31" t="inlineStr">
        <is>
          <t>Balance Sheet — Equity</t>
        </is>
      </c>
      <c r="I38" s="31" t="inlineStr">
        <is>
          <t>Actual</t>
        </is>
      </c>
      <c r="J38" s="31" t="inlineStr"/>
    </row>
    <row r="39" ht="27" customHeight="1">
      <c r="A39" s="49" t="inlineStr">
        <is>
          <t>BS</t>
        </is>
      </c>
      <c r="B39" s="49" t="inlineStr">
        <is>
          <t>Cash + deposits − debt</t>
        </is>
      </c>
      <c r="C39" s="28" t="inlineStr">
        <is>
          <t>VND bn</t>
        </is>
      </c>
      <c r="D39" s="48">
        <f>D28-D36</f>
        <v/>
      </c>
      <c r="E39" s="48">
        <f>E28-E36</f>
        <v/>
      </c>
      <c r="F39" s="48">
        <f>IFERROR(D39/E39-1,"N/A")</f>
        <v/>
      </c>
      <c r="G39" s="28" t="inlineStr">
        <is>
          <t>MODEL-FORMULA</t>
        </is>
      </c>
      <c r="H39" s="28" t="inlineStr">
        <is>
          <t>Calculated liquidity bridge</t>
        </is>
      </c>
      <c r="I39" s="28" t="inlineStr">
        <is>
          <t>Calculated</t>
        </is>
      </c>
      <c r="J39" s="28" t="inlineStr"/>
    </row>
    <row r="41" ht="20" customHeight="1">
      <c r="A41" s="44" t="inlineStr">
        <is>
          <t>CASH FLOW STATEMENT — Q1 2026 vs Q1 2025 | VND bn</t>
        </is>
      </c>
    </row>
    <row r="42" ht="27" customHeight="1">
      <c r="A42" s="31" t="inlineStr">
        <is>
          <t>CF</t>
        </is>
      </c>
      <c r="B42" s="31" t="inlineStr">
        <is>
          <t>Net cash from operating activities</t>
        </is>
      </c>
      <c r="C42" s="31" t="inlineStr">
        <is>
          <t>VND bn</t>
        </is>
      </c>
      <c r="D42" s="45" t="n">
        <v>863.686766977</v>
      </c>
      <c r="E42" s="45" t="n">
        <v>2477.049226791</v>
      </c>
      <c r="F42" s="46">
        <f>IFERROR(D42/E42-1,"N/A")</f>
        <v/>
      </c>
      <c r="G42" s="31" t="inlineStr">
        <is>
          <t>DMX-Q1-2026</t>
        </is>
      </c>
      <c r="H42" s="31" t="inlineStr">
        <is>
          <t>Cash Flow — CFO</t>
        </is>
      </c>
      <c r="I42" s="31" t="inlineStr">
        <is>
          <t>Actual</t>
        </is>
      </c>
      <c r="J42" s="31" t="inlineStr"/>
    </row>
    <row r="43" ht="27" customHeight="1">
      <c r="A43" s="28" t="inlineStr">
        <is>
          <t>CF</t>
        </is>
      </c>
      <c r="B43" s="28" t="inlineStr">
        <is>
          <t>Purchase/construction of fixed assets</t>
        </is>
      </c>
      <c r="C43" s="28" t="inlineStr">
        <is>
          <t>VND bn</t>
        </is>
      </c>
      <c r="D43" s="47" t="n">
        <v>-116.154581487</v>
      </c>
      <c r="E43" s="47" t="n">
        <v>-24.589934831</v>
      </c>
      <c r="F43" s="48">
        <f>IFERROR(D43/E43-1,"N/A")</f>
        <v/>
      </c>
      <c r="G43" s="28" t="inlineStr">
        <is>
          <t>DMX-Q1-2026</t>
        </is>
      </c>
      <c r="H43" s="28" t="inlineStr">
        <is>
          <t>Cash Flow — Capex</t>
        </is>
      </c>
      <c r="I43" s="28" t="inlineStr">
        <is>
          <t>Actual</t>
        </is>
      </c>
      <c r="J43" s="28" t="inlineStr"/>
    </row>
    <row r="44" ht="27" customHeight="1">
      <c r="A44" s="49" t="inlineStr">
        <is>
          <t>CF</t>
        </is>
      </c>
      <c r="B44" s="49" t="inlineStr">
        <is>
          <t>FCF after capex</t>
        </is>
      </c>
      <c r="C44" s="31" t="inlineStr">
        <is>
          <t>VND bn</t>
        </is>
      </c>
      <c r="D44" s="46">
        <f>D42+D43</f>
        <v/>
      </c>
      <c r="E44" s="46">
        <f>E42+E43</f>
        <v/>
      </c>
      <c r="F44" s="46">
        <f>IFERROR(D44/E44-1,"N/A")</f>
        <v/>
      </c>
      <c r="G44" s="31" t="inlineStr">
        <is>
          <t>MODEL-FORMULA</t>
        </is>
      </c>
      <c r="H44" s="31" t="inlineStr">
        <is>
          <t>CFO + capex (capex reported negative)</t>
        </is>
      </c>
      <c r="I44" s="31" t="inlineStr">
        <is>
          <t>Calculated</t>
        </is>
      </c>
      <c r="J44" s="31" t="inlineStr"/>
    </row>
    <row r="45" ht="27" customHeight="1">
      <c r="A45" s="28" t="inlineStr">
        <is>
          <t>CF</t>
        </is>
      </c>
      <c r="B45" s="28" t="inlineStr">
        <is>
          <t>Net cash from investing activities</t>
        </is>
      </c>
      <c r="C45" s="28" t="inlineStr">
        <is>
          <t>VND bn</t>
        </is>
      </c>
      <c r="D45" s="47" t="n">
        <v>140.146492181</v>
      </c>
      <c r="E45" s="47" t="n">
        <v>-1936.035958785</v>
      </c>
      <c r="F45" s="48">
        <f>IFERROR(D45/E45-1,"N/A")</f>
        <v/>
      </c>
      <c r="G45" s="28" t="inlineStr">
        <is>
          <t>DMX-Q1-2026</t>
        </is>
      </c>
      <c r="H45" s="28" t="inlineStr">
        <is>
          <t>Cash Flow — CFI</t>
        </is>
      </c>
      <c r="I45" s="28" t="inlineStr">
        <is>
          <t>Actual</t>
        </is>
      </c>
      <c r="J45" s="28" t="inlineStr"/>
    </row>
    <row r="46" ht="27" customHeight="1">
      <c r="A46" s="31" t="inlineStr">
        <is>
          <t>CF</t>
        </is>
      </c>
      <c r="B46" s="31" t="inlineStr">
        <is>
          <t>Drawdown from borrowings</t>
        </is>
      </c>
      <c r="C46" s="31" t="inlineStr">
        <is>
          <t>VND bn</t>
        </is>
      </c>
      <c r="D46" s="45" t="n">
        <v>22101.481775842</v>
      </c>
      <c r="E46" s="45" t="n">
        <v>17652.457126709</v>
      </c>
      <c r="F46" s="46">
        <f>IFERROR(D46/E46-1,"N/A")</f>
        <v/>
      </c>
      <c r="G46" s="31" t="inlineStr">
        <is>
          <t>DMX-Q1-2026</t>
        </is>
      </c>
      <c r="H46" s="31" t="inlineStr">
        <is>
          <t>Cash Flow — debt drawdown</t>
        </is>
      </c>
      <c r="I46" s="31" t="inlineStr">
        <is>
          <t>Actual</t>
        </is>
      </c>
      <c r="J46" s="31" t="inlineStr"/>
    </row>
    <row r="47" ht="27" customHeight="1">
      <c r="A47" s="28" t="inlineStr">
        <is>
          <t>CF</t>
        </is>
      </c>
      <c r="B47" s="28" t="inlineStr">
        <is>
          <t>Repayment of borrowings</t>
        </is>
      </c>
      <c r="C47" s="28" t="inlineStr">
        <is>
          <t>VND bn</t>
        </is>
      </c>
      <c r="D47" s="47" t="n">
        <v>-23371.705318407</v>
      </c>
      <c r="E47" s="47" t="n">
        <v>-19751.444561031</v>
      </c>
      <c r="F47" s="48">
        <f>IFERROR(D47/E47-1,"N/A")</f>
        <v/>
      </c>
      <c r="G47" s="28" t="inlineStr">
        <is>
          <t>DMX-Q1-2026</t>
        </is>
      </c>
      <c r="H47" s="28" t="inlineStr">
        <is>
          <t>Cash Flow — debt repayment</t>
        </is>
      </c>
      <c r="I47" s="28" t="inlineStr">
        <is>
          <t>Actual</t>
        </is>
      </c>
      <c r="J47" s="28" t="inlineStr"/>
    </row>
    <row r="48" ht="27" customHeight="1">
      <c r="A48" s="31" t="inlineStr">
        <is>
          <t>CF</t>
        </is>
      </c>
      <c r="B48" s="31" t="inlineStr">
        <is>
          <t>Net cash from financing activities</t>
        </is>
      </c>
      <c r="C48" s="31" t="inlineStr">
        <is>
          <t>VND bn</t>
        </is>
      </c>
      <c r="D48" s="45" t="n">
        <v>-1270.223542565</v>
      </c>
      <c r="E48" s="45" t="n">
        <v>-2598.987434326</v>
      </c>
      <c r="F48" s="46">
        <f>IFERROR(D48/E48-1,"N/A")</f>
        <v/>
      </c>
      <c r="G48" s="31" t="inlineStr">
        <is>
          <t>DMX-Q1-2026</t>
        </is>
      </c>
      <c r="H48" s="31" t="inlineStr">
        <is>
          <t>Cash Flow — CFF</t>
        </is>
      </c>
      <c r="I48" s="31" t="inlineStr">
        <is>
          <t>Actual</t>
        </is>
      </c>
      <c r="J48" s="31" t="inlineStr"/>
    </row>
    <row r="49" ht="27" customHeight="1">
      <c r="A49" s="28" t="inlineStr">
        <is>
          <t>CF</t>
        </is>
      </c>
      <c r="B49" s="28" t="inlineStr">
        <is>
          <t>Net change in cash</t>
        </is>
      </c>
      <c r="C49" s="28" t="inlineStr">
        <is>
          <t>VND bn</t>
        </is>
      </c>
      <c r="D49" s="47" t="n">
        <v>-266.390283407</v>
      </c>
      <c r="E49" s="47" t="n">
        <v>-2057.97416632</v>
      </c>
      <c r="F49" s="48">
        <f>IFERROR(D49/E49-1,"N/A")</f>
        <v/>
      </c>
      <c r="G49" s="28" t="inlineStr">
        <is>
          <t>DMX-Q1-2026</t>
        </is>
      </c>
      <c r="H49" s="28" t="inlineStr">
        <is>
          <t>Cash Flow — net change in cash</t>
        </is>
      </c>
      <c r="I49" s="28" t="inlineStr">
        <is>
          <t>Actual</t>
        </is>
      </c>
      <c r="J49" s="28" t="inlineStr"/>
    </row>
    <row r="50" ht="27" customHeight="1">
      <c r="A50" s="31" t="inlineStr">
        <is>
          <t>CF</t>
        </is>
      </c>
      <c r="B50" s="31" t="inlineStr">
        <is>
          <t>Opening cash</t>
        </is>
      </c>
      <c r="C50" s="31" t="inlineStr">
        <is>
          <t>VND bn</t>
        </is>
      </c>
      <c r="D50" s="45" t="n">
        <v>3578.154917657</v>
      </c>
      <c r="E50" s="45" t="n">
        <v>3780.128276727</v>
      </c>
      <c r="F50" s="46">
        <f>IFERROR(D50/E50-1,"N/A")</f>
        <v/>
      </c>
      <c r="G50" s="31" t="inlineStr">
        <is>
          <t>DMX-Q1-2026</t>
        </is>
      </c>
      <c r="H50" s="31" t="inlineStr">
        <is>
          <t>Cash Flow — opening cash</t>
        </is>
      </c>
      <c r="I50" s="31" t="inlineStr">
        <is>
          <t>Actual</t>
        </is>
      </c>
      <c r="J50" s="31" t="inlineStr"/>
    </row>
    <row r="51" ht="27" customHeight="1">
      <c r="A51" s="28" t="inlineStr">
        <is>
          <t>CF</t>
        </is>
      </c>
      <c r="B51" s="28" t="inlineStr">
        <is>
          <t>FX effect</t>
        </is>
      </c>
      <c r="C51" s="28" t="inlineStr">
        <is>
          <t>VND bn</t>
        </is>
      </c>
      <c r="D51" s="47" t="n">
        <v>0.913927127</v>
      </c>
      <c r="E51" s="47" t="n">
        <v>0.048240903</v>
      </c>
      <c r="F51" s="48">
        <f>IFERROR(D51/E51-1,"N/A")</f>
        <v/>
      </c>
      <c r="G51" s="28" t="inlineStr">
        <is>
          <t>DMX-Q1-2026</t>
        </is>
      </c>
      <c r="H51" s="28" t="inlineStr">
        <is>
          <t>Cash Flow — FX effect</t>
        </is>
      </c>
      <c r="I51" s="28" t="inlineStr">
        <is>
          <t>Actual</t>
        </is>
      </c>
      <c r="J51" s="28" t="inlineStr"/>
    </row>
    <row r="52" ht="27" customHeight="1">
      <c r="A52" s="31" t="inlineStr">
        <is>
          <t>CF</t>
        </is>
      </c>
      <c r="B52" s="31" t="inlineStr">
        <is>
          <t>Closing cash</t>
        </is>
      </c>
      <c r="C52" s="31" t="inlineStr">
        <is>
          <t>VND bn</t>
        </is>
      </c>
      <c r="D52" s="45" t="n">
        <v>3312.678561377</v>
      </c>
      <c r="E52" s="45" t="n">
        <v>1722.20235131</v>
      </c>
      <c r="F52" s="46">
        <f>IFERROR(D52/E52-1,"N/A")</f>
        <v/>
      </c>
      <c r="G52" s="31" t="inlineStr">
        <is>
          <t>DMX-Q1-2026</t>
        </is>
      </c>
      <c r="H52" s="31" t="inlineStr">
        <is>
          <t>Cash Flow — closing cash</t>
        </is>
      </c>
      <c r="I52" s="31" t="inlineStr">
        <is>
          <t>Actual</t>
        </is>
      </c>
      <c r="J52" s="31" t="inlineStr"/>
    </row>
    <row r="53" ht="27" customHeight="1">
      <c r="A53" s="49" t="inlineStr">
        <is>
          <t>CF</t>
        </is>
      </c>
      <c r="B53" s="49" t="inlineStr">
        <is>
          <t>CFO / NPAT</t>
        </is>
      </c>
      <c r="C53" s="28" t="inlineStr">
        <is>
          <t>%</t>
        </is>
      </c>
      <c r="D53" s="50">
        <f>D42/D20</f>
        <v/>
      </c>
      <c r="E53" s="50">
        <f>E42/E20</f>
        <v/>
      </c>
      <c r="F53" s="50">
        <f>IFERROR(D53/E53-1,"N/A")</f>
        <v/>
      </c>
      <c r="G53" s="28" t="inlineStr">
        <is>
          <t>MODEL-FORMULA</t>
        </is>
      </c>
      <c r="H53" s="28" t="inlineStr">
        <is>
          <t>CFO / NPAT</t>
        </is>
      </c>
      <c r="I53" s="28" t="inlineStr">
        <is>
          <t>Calculated</t>
        </is>
      </c>
      <c r="J53" s="28" t="inlineStr"/>
    </row>
  </sheetData>
  <autoFilter ref="A4:J53"/>
  <mergeCells count="5">
    <mergeCell ref="A1:J1"/>
    <mergeCell ref="A5:J5"/>
    <mergeCell ref="A24:J24"/>
    <mergeCell ref="A2:J2"/>
    <mergeCell ref="A41:J41"/>
  </mergeCells>
  <hyperlinks>
    <hyperlink xmlns:r="http://schemas.openxmlformats.org/officeDocument/2006/relationships" ref="N1" r:id="rId1"/>
  </hyperlink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00A6A6"/>
    <outlinePr summaryBelow="1" summaryRight="1"/>
    <pageSetUpPr fitToPage="1"/>
  </sheetPr>
  <dimension ref="A1:J16"/>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6" customWidth="1" min="3" max="3"/>
    <col width="16" customWidth="1" min="4" max="4"/>
    <col width="16" customWidth="1" min="5" max="5"/>
    <col width="16" customWidth="1" min="6" max="6"/>
    <col width="16" customWidth="1" min="7" max="7"/>
    <col width="16" customWidth="1" min="8" max="8"/>
    <col width="25" customWidth="1" min="9" max="9"/>
    <col width="45" customWidth="1" min="10" max="10"/>
  </cols>
  <sheetData>
    <row r="1" ht="31" customHeight="1">
      <c r="A1" s="20" t="inlineStr">
        <is>
          <t>DMX management outlook</t>
        </is>
      </c>
    </row>
    <row r="2" ht="23" customHeight="1">
      <c r="A2" s="21" t="inlineStr">
        <is>
          <t>2025 actual shown in company material; 2026F–2030F are management outlook, not analyst estimates and not guarantees.</t>
        </is>
      </c>
    </row>
    <row r="4" ht="30" customHeight="1">
      <c r="B4" s="14" t="inlineStr">
        <is>
          <t>Metric</t>
        </is>
      </c>
      <c r="C4" s="14" t="inlineStr">
        <is>
          <t>2025A</t>
        </is>
      </c>
      <c r="D4" s="14" t="inlineStr">
        <is>
          <t>2026F</t>
        </is>
      </c>
      <c r="E4" s="14" t="inlineStr">
        <is>
          <t>2027F</t>
        </is>
      </c>
      <c r="F4" s="14" t="inlineStr">
        <is>
          <t>2028F</t>
        </is>
      </c>
      <c r="G4" s="14" t="inlineStr">
        <is>
          <t>2029F</t>
        </is>
      </c>
      <c r="H4" s="14" t="inlineStr">
        <is>
          <t>2030F</t>
        </is>
      </c>
      <c r="I4" s="14" t="inlineStr">
        <is>
          <t>Source / status</t>
        </is>
      </c>
      <c r="J4" s="14" t="inlineStr">
        <is>
          <t>Interpretation</t>
        </is>
      </c>
    </row>
    <row r="5" ht="26" customHeight="1">
      <c r="B5" s="53" t="inlineStr">
        <is>
          <t>Data status</t>
        </is>
      </c>
      <c r="C5" s="54" t="inlineStr">
        <is>
          <t>Actual (company presentation)</t>
        </is>
      </c>
      <c r="D5" s="54" t="inlineStr">
        <is>
          <t>Company outlook</t>
        </is>
      </c>
      <c r="E5" s="54" t="inlineStr">
        <is>
          <t>Company outlook</t>
        </is>
      </c>
      <c r="F5" s="54" t="inlineStr">
        <is>
          <t>Company outlook</t>
        </is>
      </c>
      <c r="G5" s="54" t="inlineStr">
        <is>
          <t>Company outlook</t>
        </is>
      </c>
      <c r="H5" s="54" t="inlineStr">
        <is>
          <t>Company outlook</t>
        </is>
      </c>
      <c r="I5" s="28" t="inlineStr">
        <is>
          <t>DMX-OUTLOOK</t>
        </is>
      </c>
      <c r="J5" s="28" t="inlineStr">
        <is>
          <t>Company outlook is held separate from the analyst scenario layer.</t>
        </is>
      </c>
    </row>
    <row r="6" ht="26" customHeight="1">
      <c r="B6" s="55" t="inlineStr">
        <is>
          <t>Revenue</t>
        </is>
      </c>
      <c r="C6" s="56" t="n">
        <v>107000</v>
      </c>
      <c r="D6" s="56" t="n">
        <v>122500</v>
      </c>
      <c r="E6" s="56" t="n">
        <v>135000</v>
      </c>
      <c r="F6" s="56" t="n">
        <v>149000</v>
      </c>
      <c r="G6" s="56" t="n">
        <v>164000</v>
      </c>
      <c r="H6" s="56" t="n">
        <v>182000</v>
      </c>
      <c r="I6" s="31" t="inlineStr">
        <is>
          <t>DMX-OUTLOOK</t>
        </is>
      </c>
      <c r="J6" s="31" t="inlineStr">
        <is>
          <t>Company outlook is held separate from the analyst scenario layer.</t>
        </is>
      </c>
    </row>
    <row r="7" ht="26" customHeight="1">
      <c r="B7" s="53" t="inlineStr">
        <is>
          <t>Revenue growth</t>
        </is>
      </c>
      <c r="C7" s="57" t="inlineStr">
        <is>
          <t>N/A</t>
        </is>
      </c>
      <c r="D7" s="57">
        <f>D6/C6-1</f>
        <v/>
      </c>
      <c r="E7" s="57">
        <f>E6/D6-1</f>
        <v/>
      </c>
      <c r="F7" s="57">
        <f>F6/E6-1</f>
        <v/>
      </c>
      <c r="G7" s="57">
        <f>G6/F6-1</f>
        <v/>
      </c>
      <c r="H7" s="57">
        <f>H6/G6-1</f>
        <v/>
      </c>
      <c r="I7" s="28" t="inlineStr">
        <is>
          <t>DMX-OUTLOOK</t>
        </is>
      </c>
      <c r="J7" s="28" t="inlineStr">
        <is>
          <t>Company outlook is held separate from the analyst scenario layer.</t>
        </is>
      </c>
    </row>
    <row r="8" ht="26" customHeight="1">
      <c r="B8" s="55" t="inlineStr">
        <is>
          <t>NPAT</t>
        </is>
      </c>
      <c r="C8" s="56" t="n">
        <v>6075</v>
      </c>
      <c r="D8" s="56" t="n">
        <v>7350</v>
      </c>
      <c r="E8" s="56" t="n">
        <v>8500</v>
      </c>
      <c r="F8" s="56" t="n">
        <v>9800</v>
      </c>
      <c r="G8" s="56" t="n">
        <v>11300</v>
      </c>
      <c r="H8" s="56" t="n">
        <v>13000</v>
      </c>
      <c r="I8" s="31" t="inlineStr">
        <is>
          <t>DMX-OUTLOOK</t>
        </is>
      </c>
      <c r="J8" s="31" t="inlineStr">
        <is>
          <t>Company outlook is held separate from the analyst scenario layer.</t>
        </is>
      </c>
    </row>
    <row r="9" ht="26" customHeight="1">
      <c r="B9" s="53" t="inlineStr">
        <is>
          <t>NPAT growth</t>
        </is>
      </c>
      <c r="C9" s="57" t="inlineStr">
        <is>
          <t>N/A</t>
        </is>
      </c>
      <c r="D9" s="57">
        <f>D8/C8-1</f>
        <v/>
      </c>
      <c r="E9" s="57">
        <f>E8/D8-1</f>
        <v/>
      </c>
      <c r="F9" s="57">
        <f>F8/E8-1</f>
        <v/>
      </c>
      <c r="G9" s="57">
        <f>G8/F8-1</f>
        <v/>
      </c>
      <c r="H9" s="57">
        <f>H8/G8-1</f>
        <v/>
      </c>
      <c r="I9" s="28" t="inlineStr">
        <is>
          <t>DMX-OUTLOOK</t>
        </is>
      </c>
      <c r="J9" s="28" t="inlineStr">
        <is>
          <t>Company outlook is held separate from the analyst scenario layer.</t>
        </is>
      </c>
    </row>
    <row r="10" ht="26" customHeight="1">
      <c r="B10" s="55" t="inlineStr">
        <is>
          <t>NPAT margin</t>
        </is>
      </c>
      <c r="C10" s="58">
        <f>C8/C6</f>
        <v/>
      </c>
      <c r="D10" s="58">
        <f>D8/D6</f>
        <v/>
      </c>
      <c r="E10" s="58">
        <f>E8/E6</f>
        <v/>
      </c>
      <c r="F10" s="58">
        <f>F8/F6</f>
        <v/>
      </c>
      <c r="G10" s="58">
        <f>G8/G6</f>
        <v/>
      </c>
      <c r="H10" s="58">
        <f>H8/H6</f>
        <v/>
      </c>
      <c r="I10" s="31" t="inlineStr">
        <is>
          <t>DMX-OUTLOOK</t>
        </is>
      </c>
      <c r="J10" s="31" t="inlineStr">
        <is>
          <t>Company outlook is held separate from the analyst scenario layer.</t>
        </is>
      </c>
    </row>
    <row r="11" ht="26" customHeight="1">
      <c r="B11" s="53" t="inlineStr">
        <is>
          <t>Gross margin</t>
        </is>
      </c>
      <c r="C11" s="59" t="n">
        <v>0.171</v>
      </c>
      <c r="D11" s="59" t="n">
        <v>0.175</v>
      </c>
      <c r="E11" s="59" t="n">
        <v>0.178</v>
      </c>
      <c r="F11" s="59" t="n">
        <v>0.18</v>
      </c>
      <c r="G11" s="59" t="n">
        <v>0.183</v>
      </c>
      <c r="H11" s="59" t="n">
        <v>0.184</v>
      </c>
      <c r="I11" s="28" t="inlineStr">
        <is>
          <t>DMX-OUTLOOK</t>
        </is>
      </c>
      <c r="J11" s="28" t="inlineStr">
        <is>
          <t>Company outlook is held separate from the analyst scenario layer.</t>
        </is>
      </c>
    </row>
    <row r="14">
      <c r="B14" s="42" t="inlineStr">
        <is>
          <t>MODEL BOUNDARY — These values reproduce the company's published outlook as captured at the data cut-off. The DCF does not silently treat them as audited actuals: it applies a separate scenario growth adjustment and explicit EBIT, tax, D&amp;A, capex and working-capital assumptions on the Assumptions tab.</t>
        </is>
      </c>
    </row>
    <row r="15"/>
    <row r="16"/>
  </sheetData>
  <mergeCells count="3">
    <mergeCell ref="A1:J1"/>
    <mergeCell ref="B14:J16"/>
    <mergeCell ref="A2:J2"/>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00A6A6"/>
    <outlinePr summaryBelow="1" summaryRight="1"/>
    <pageSetUpPr fitToPage="1"/>
  </sheetPr>
  <dimension ref="A1:K41"/>
  <sheetViews>
    <sheetView showGridLines="0" zoomScale="85" workbookViewId="0">
      <pane ySplit="10" topLeftCell="A11" activePane="bottomLeft" state="frozen"/>
      <selection pane="bottomLeft" activeCell="A1" sqref="A1"/>
    </sheetView>
  </sheetViews>
  <sheetFormatPr baseColWidth="8" defaultRowHeight="15"/>
  <cols>
    <col width="23" customWidth="1" min="1" max="1"/>
    <col width="21" customWidth="1" min="2" max="2"/>
    <col width="37" customWidth="1" min="3" max="3"/>
    <col width="14" customWidth="1" min="4" max="4"/>
    <col width="15" customWidth="1" min="5" max="5"/>
    <col width="15" customWidth="1" min="6" max="6"/>
    <col width="15" customWidth="1" min="7" max="7"/>
    <col width="16" customWidth="1" min="8" max="8"/>
    <col width="22" customWidth="1" min="9" max="9"/>
    <col width="52" customWidth="1" min="10" max="10"/>
    <col width="27" customWidth="1" min="11" max="11"/>
  </cols>
  <sheetData>
    <row r="1" ht="31" customHeight="1">
      <c r="A1" s="20" t="inlineStr">
        <is>
          <t>Illustrative analyst assumptions</t>
        </is>
      </c>
    </row>
    <row r="2" ht="23" customHeight="1">
      <c r="A2" s="21" t="inlineStr">
        <is>
          <t>Yellow cells / blue font are editable inputs. None of the scenario values below is an official company forecast unless separately sourced.</t>
        </is>
      </c>
    </row>
    <row r="4">
      <c r="A4" t="inlineStr">
        <is>
          <t>Active scenario</t>
        </is>
      </c>
      <c r="C4" s="60" t="inlineStr">
        <is>
          <t>Base</t>
        </is>
      </c>
    </row>
    <row r="5">
      <c r="A5" s="6" t="inlineStr">
        <is>
          <t>Valuation date</t>
        </is>
      </c>
      <c r="C5" s="61" t="inlineStr">
        <is>
          <t>N/A</t>
        </is>
      </c>
      <c r="J5" s="62" t="inlineStr">
        <is>
          <t>Required for a market conclusion</t>
        </is>
      </c>
    </row>
    <row r="6">
      <c r="A6" s="6" t="inlineStr">
        <is>
          <t>MWG closing price</t>
        </is>
      </c>
      <c r="C6" s="61" t="inlineStr">
        <is>
          <t>N/A</t>
        </is>
      </c>
      <c r="J6" s="62" t="inlineStr">
        <is>
          <t>VND/share; must have the same valuation date</t>
        </is>
      </c>
    </row>
    <row r="7">
      <c r="A7" s="6" t="inlineStr">
        <is>
          <t>DMX market price</t>
        </is>
      </c>
      <c r="C7" s="61" t="inlineStr">
        <is>
          <t>N/A</t>
        </is>
      </c>
      <c r="J7" s="62" t="inlineStr">
        <is>
          <t>N/A before verified trading price/date</t>
        </is>
      </c>
    </row>
    <row r="8">
      <c r="A8" s="6" t="inlineStr">
        <is>
          <t>Exact MWG ownership of DMX</t>
        </is>
      </c>
      <c r="C8" s="61" t="inlineStr">
        <is>
          <t>N/A</t>
        </is>
      </c>
      <c r="J8" s="62" t="inlineStr">
        <is>
          <t>Rounded 'nearly 86%' is not exact ownership</t>
        </is>
      </c>
    </row>
    <row r="10" ht="30" customHeight="1">
      <c r="A10" s="14" t="inlineStr">
        <is>
          <t>Assumption ID</t>
        </is>
      </c>
      <c r="B10" s="14" t="inlineStr">
        <is>
          <t>Category</t>
        </is>
      </c>
      <c r="C10" s="14" t="inlineStr">
        <is>
          <t>Driver</t>
        </is>
      </c>
      <c r="D10" s="14" t="inlineStr">
        <is>
          <t>Unit</t>
        </is>
      </c>
      <c r="E10" s="14" t="inlineStr">
        <is>
          <t>Bear</t>
        </is>
      </c>
      <c r="F10" s="14" t="inlineStr">
        <is>
          <t>Base</t>
        </is>
      </c>
      <c r="G10" s="14" t="inlineStr">
        <is>
          <t>Bull</t>
        </is>
      </c>
      <c r="H10" s="14" t="inlineStr">
        <is>
          <t>Active</t>
        </is>
      </c>
      <c r="I10" s="14" t="inlineStr">
        <is>
          <t>Status</t>
        </is>
      </c>
      <c r="J10" s="14" t="inlineStr">
        <is>
          <t>Rationale</t>
        </is>
      </c>
      <c r="K10" s="14" t="inlineStr">
        <is>
          <t>Evidence / source</t>
        </is>
      </c>
    </row>
    <row r="11" ht="32" customHeight="1">
      <c r="A11" s="28" t="inlineStr">
        <is>
          <t>OP_REV_GROWTH_ADJ</t>
        </is>
      </c>
      <c r="B11" s="28" t="inlineStr">
        <is>
          <t>DMX operations</t>
        </is>
      </c>
      <c r="C11" s="28" t="inlineStr">
        <is>
          <t>Annual adjustment to management revenue growth</t>
        </is>
      </c>
      <c r="D11" s="28" t="inlineStr">
        <is>
          <t>%</t>
        </is>
      </c>
      <c r="E11" s="63" t="n">
        <v>-0.03</v>
      </c>
      <c r="F11" s="63" t="n">
        <v>0</v>
      </c>
      <c r="G11" s="63" t="n">
        <v>0.02</v>
      </c>
      <c r="H11" s="64">
        <f>INDEX(E11:G11,1,MATCH($C$4,$E$10:$G$10,0))</f>
        <v/>
      </c>
      <c r="I11" s="28" t="inlineStr">
        <is>
          <t>Illustrative</t>
        </is>
      </c>
      <c r="J11" s="28" t="inlineStr">
        <is>
          <t>Applied to the growth rate, not directly to revenue output</t>
        </is>
      </c>
      <c r="K11" s="28" t="inlineStr">
        <is>
          <t>Analyst scenario</t>
        </is>
      </c>
    </row>
    <row r="12" ht="32" customHeight="1">
      <c r="A12" s="31" t="inlineStr">
        <is>
          <t>OP_EBIT_MARGIN_2026</t>
        </is>
      </c>
      <c r="B12" s="31" t="inlineStr">
        <is>
          <t>DMX operations</t>
        </is>
      </c>
      <c r="C12" s="31" t="inlineStr">
        <is>
          <t>EBIT margin in 2026E</t>
        </is>
      </c>
      <c r="D12" s="31" t="inlineStr">
        <is>
          <t>%</t>
        </is>
      </c>
      <c r="E12" s="63" t="n">
        <v>0.07000000000000001</v>
      </c>
      <c r="F12" s="63" t="n">
        <v>0.08</v>
      </c>
      <c r="G12" s="63" t="n">
        <v>0.08799999999999999</v>
      </c>
      <c r="H12" s="64">
        <f>INDEX(E12:G12,1,MATCH($C$4,$E$10:$G$10,0))</f>
        <v/>
      </c>
      <c r="I12" s="31" t="inlineStr">
        <is>
          <t>Illustrative</t>
        </is>
      </c>
      <c r="J12" s="31" t="inlineStr">
        <is>
          <t>FCFF EBIT is independent from company NPAT outlook</t>
        </is>
      </c>
      <c r="K12" s="31" t="inlineStr">
        <is>
          <t>Analyst scenario</t>
        </is>
      </c>
    </row>
    <row r="13" ht="32" customHeight="1">
      <c r="A13" s="28" t="inlineStr">
        <is>
          <t>OP_EBIT_MARGIN_STEP</t>
        </is>
      </c>
      <c r="B13" s="28" t="inlineStr">
        <is>
          <t>DMX operations</t>
        </is>
      </c>
      <c r="C13" s="28" t="inlineStr">
        <is>
          <t>Annual EBIT margin step</t>
        </is>
      </c>
      <c r="D13" s="28" t="inlineStr">
        <is>
          <t>%</t>
        </is>
      </c>
      <c r="E13" s="63" t="n">
        <v>0.001</v>
      </c>
      <c r="F13" s="63" t="n">
        <v>0.002</v>
      </c>
      <c r="G13" s="63" t="n">
        <v>0.0025</v>
      </c>
      <c r="H13" s="64">
        <f>INDEX(E13:G13,1,MATCH($C$4,$E$10:$G$10,0))</f>
        <v/>
      </c>
      <c r="I13" s="28" t="inlineStr">
        <is>
          <t>Illustrative</t>
        </is>
      </c>
      <c r="J13" s="28" t="inlineStr">
        <is>
          <t>Linear step from the 2026E margin</t>
        </is>
      </c>
      <c r="K13" s="28" t="inlineStr">
        <is>
          <t>Analyst scenario</t>
        </is>
      </c>
    </row>
    <row r="14" ht="32" customHeight="1">
      <c r="A14" s="31" t="inlineStr">
        <is>
          <t>OP_CASH_TAX</t>
        </is>
      </c>
      <c r="B14" s="31" t="inlineStr">
        <is>
          <t>DMX operations</t>
        </is>
      </c>
      <c r="C14" s="31" t="inlineStr">
        <is>
          <t>Cash tax rate</t>
        </is>
      </c>
      <c r="D14" s="31" t="inlineStr">
        <is>
          <t>%</t>
        </is>
      </c>
      <c r="E14" s="63" t="n">
        <v>0.2</v>
      </c>
      <c r="F14" s="63" t="n">
        <v>0.2</v>
      </c>
      <c r="G14" s="63" t="n">
        <v>0.2</v>
      </c>
      <c r="H14" s="64">
        <f>INDEX(E14:G14,1,MATCH($C$4,$E$10:$G$10,0))</f>
        <v/>
      </c>
      <c r="I14" s="31" t="inlineStr">
        <is>
          <t>Illustrative</t>
        </is>
      </c>
      <c r="J14" s="31" t="inlineStr">
        <is>
          <t>Vietnam corporate-tax simplification; replace with modelled cash tax</t>
        </is>
      </c>
      <c r="K14" s="31" t="inlineStr">
        <is>
          <t>Analyst scenario</t>
        </is>
      </c>
    </row>
    <row r="15" ht="32" customHeight="1">
      <c r="A15" s="28" t="inlineStr">
        <is>
          <t>OP_DA_PCT_REV</t>
        </is>
      </c>
      <c r="B15" s="28" t="inlineStr">
        <is>
          <t>DMX operations</t>
        </is>
      </c>
      <c r="C15" s="28" t="inlineStr">
        <is>
          <t>D&amp;A as % of revenue</t>
        </is>
      </c>
      <c r="D15" s="28" t="inlineStr">
        <is>
          <t>%</t>
        </is>
      </c>
      <c r="E15" s="63" t="n">
        <v>0.01</v>
      </c>
      <c r="F15" s="63" t="n">
        <v>0.01</v>
      </c>
      <c r="G15" s="63" t="n">
        <v>0.01</v>
      </c>
      <c r="H15" s="64">
        <f>INDEX(E15:G15,1,MATCH($C$4,$E$10:$G$10,0))</f>
        <v/>
      </c>
      <c r="I15" s="28" t="inlineStr">
        <is>
          <t>Illustrative</t>
        </is>
      </c>
      <c r="J15" s="28" t="inlineStr">
        <is>
          <t>Required to bridge EBIT to FCFF</t>
        </is>
      </c>
      <c r="K15" s="28" t="inlineStr">
        <is>
          <t>Analyst scenario</t>
        </is>
      </c>
    </row>
    <row r="16" ht="32" customHeight="1">
      <c r="A16" s="31" t="inlineStr">
        <is>
          <t>OP_CAPEX_PCT_REV</t>
        </is>
      </c>
      <c r="B16" s="31" t="inlineStr">
        <is>
          <t>DMX operations</t>
        </is>
      </c>
      <c r="C16" s="31" t="inlineStr">
        <is>
          <t>Capex as % of revenue</t>
        </is>
      </c>
      <c r="D16" s="31" t="inlineStr">
        <is>
          <t>%</t>
        </is>
      </c>
      <c r="E16" s="63" t="n">
        <v>0.012</v>
      </c>
      <c r="F16" s="63" t="n">
        <v>0.01</v>
      </c>
      <c r="G16" s="63" t="n">
        <v>0.008999999999999999</v>
      </c>
      <c r="H16" s="64">
        <f>INDEX(E16:G16,1,MATCH($C$4,$E$10:$G$10,0))</f>
        <v/>
      </c>
      <c r="I16" s="31" t="inlineStr">
        <is>
          <t>Illustrative</t>
        </is>
      </c>
      <c r="J16" s="31" t="inlineStr">
        <is>
          <t>Maintenance and growth capex combined</t>
        </is>
      </c>
      <c r="K16" s="31" t="inlineStr">
        <is>
          <t>Analyst scenario</t>
        </is>
      </c>
    </row>
    <row r="17" ht="32" customHeight="1">
      <c r="A17" s="28" t="inlineStr">
        <is>
          <t>OP_NWC_PCT_DELTA_REV</t>
        </is>
      </c>
      <c r="B17" s="28" t="inlineStr">
        <is>
          <t>DMX operations</t>
        </is>
      </c>
      <c r="C17" s="28" t="inlineStr">
        <is>
          <t>Cash investment in NWC as % of revenue increase</t>
        </is>
      </c>
      <c r="D17" s="28" t="inlineStr">
        <is>
          <t>%</t>
        </is>
      </c>
      <c r="E17" s="63" t="n">
        <v>0.04</v>
      </c>
      <c r="F17" s="63" t="n">
        <v>0.03</v>
      </c>
      <c r="G17" s="63" t="n">
        <v>0.02</v>
      </c>
      <c r="H17" s="64">
        <f>INDEX(E17:G17,1,MATCH($C$4,$E$10:$G$10,0))</f>
        <v/>
      </c>
      <c r="I17" s="28" t="inlineStr">
        <is>
          <t>Illustrative</t>
        </is>
      </c>
      <c r="J17" s="28" t="inlineStr">
        <is>
          <t>Positive value is a cash outflow</t>
        </is>
      </c>
      <c r="K17" s="28" t="inlineStr">
        <is>
          <t>Analyst scenario</t>
        </is>
      </c>
    </row>
    <row r="18" ht="32" customHeight="1">
      <c r="A18" s="31" t="inlineStr">
        <is>
          <t>VAL_WACC</t>
        </is>
      </c>
      <c r="B18" s="31" t="inlineStr">
        <is>
          <t>DMX valuation</t>
        </is>
      </c>
      <c r="C18" s="31" t="inlineStr">
        <is>
          <t>Nominal VND WACC</t>
        </is>
      </c>
      <c r="D18" s="31" t="inlineStr">
        <is>
          <t>%</t>
        </is>
      </c>
      <c r="E18" s="63" t="n">
        <v>0.13</v>
      </c>
      <c r="F18" s="63" t="n">
        <v>0.12</v>
      </c>
      <c r="G18" s="63" t="n">
        <v>0.11</v>
      </c>
      <c r="H18" s="64">
        <f>INDEX(E18:G18,1,MATCH($C$4,$E$10:$G$10,0))</f>
        <v/>
      </c>
      <c r="I18" s="31" t="inlineStr">
        <is>
          <t>Illustrative</t>
        </is>
      </c>
      <c r="J18" s="31" t="inlineStr">
        <is>
          <t>Market inputs are not populated; sensitivity is mandatory</t>
        </is>
      </c>
      <c r="K18" s="31" t="inlineStr">
        <is>
          <t>Analyst scenario</t>
        </is>
      </c>
    </row>
    <row r="19" ht="32" customHeight="1">
      <c r="A19" s="28" t="inlineStr">
        <is>
          <t>VAL_TERMINAL_G</t>
        </is>
      </c>
      <c r="B19" s="28" t="inlineStr">
        <is>
          <t>DMX valuation</t>
        </is>
      </c>
      <c r="C19" s="28" t="inlineStr">
        <is>
          <t>Terminal growth</t>
        </is>
      </c>
      <c r="D19" s="28" t="inlineStr">
        <is>
          <t>%</t>
        </is>
      </c>
      <c r="E19" s="63" t="n">
        <v>0.03</v>
      </c>
      <c r="F19" s="63" t="n">
        <v>0.04</v>
      </c>
      <c r="G19" s="63" t="n">
        <v>0.045</v>
      </c>
      <c r="H19" s="64">
        <f>INDEX(E19:G19,1,MATCH($C$4,$E$10:$G$10,0))</f>
        <v/>
      </c>
      <c r="I19" s="28" t="inlineStr">
        <is>
          <t>Illustrative</t>
        </is>
      </c>
      <c r="J19" s="28" t="inlineStr">
        <is>
          <t>Must remain below WACC</t>
        </is>
      </c>
      <c r="K19" s="28" t="inlineStr">
        <is>
          <t>Analyst scenario</t>
        </is>
      </c>
    </row>
    <row r="20" ht="32" customHeight="1">
      <c r="A20" s="31" t="inlineStr">
        <is>
          <t>VAL_ERABLUE</t>
        </is>
      </c>
      <c r="B20" s="31" t="inlineStr">
        <is>
          <t>DMX valuation</t>
        </is>
      </c>
      <c r="C20" s="31" t="inlineStr">
        <is>
          <t>Fair value of DMX stake in EraBlue</t>
        </is>
      </c>
      <c r="D20" s="31" t="inlineStr">
        <is>
          <t>VND bn</t>
        </is>
      </c>
      <c r="E20" s="65" t="n">
        <v>1000</v>
      </c>
      <c r="F20" s="65" t="n">
        <v>1500</v>
      </c>
      <c r="G20" s="65" t="n">
        <v>2000</v>
      </c>
      <c r="H20" s="66">
        <f>INDEX(E20:G20,1,MATCH($C$4,$E$10:$G$10,0))</f>
        <v/>
      </c>
      <c r="I20" s="31" t="inlineStr">
        <is>
          <t>Illustrative</t>
        </is>
      </c>
      <c r="J20" s="31" t="inlineStr">
        <is>
          <t>Added once because FCFF EBIT excludes JV earnings</t>
        </is>
      </c>
      <c r="K20" s="31" t="inlineStr">
        <is>
          <t>MWG-ERABLUE-JV / analyst scenario</t>
        </is>
      </c>
    </row>
    <row r="21" ht="32" customHeight="1">
      <c r="A21" s="28" t="inlineStr">
        <is>
          <t>VAL_LEASE</t>
        </is>
      </c>
      <c r="B21" s="28" t="inlineStr">
        <is>
          <t>DMX valuation</t>
        </is>
      </c>
      <c r="C21" s="28" t="inlineStr">
        <is>
          <t>Lease liabilities in equity bridge</t>
        </is>
      </c>
      <c r="D21" s="28" t="inlineStr">
        <is>
          <t>VND bn</t>
        </is>
      </c>
      <c r="E21" s="65" t="n">
        <v>0</v>
      </c>
      <c r="F21" s="65" t="n">
        <v>0</v>
      </c>
      <c r="G21" s="65" t="n">
        <v>0</v>
      </c>
      <c r="H21" s="66">
        <f>INDEX(E21:G21,1,MATCH($C$4,$E$10:$G$10,0))</f>
        <v/>
      </c>
      <c r="I21" s="28" t="inlineStr">
        <is>
          <t>Illustrative placeholder</t>
        </is>
      </c>
      <c r="J21" s="28" t="inlineStr">
        <is>
          <t>Replace after verifying the chosen lease convention</t>
        </is>
      </c>
      <c r="K21" s="28" t="inlineStr">
        <is>
          <t>Analyst placeholder</t>
        </is>
      </c>
    </row>
    <row r="22" ht="32" customHeight="1">
      <c r="A22" s="31" t="inlineStr">
        <is>
          <t>VAL_OTHER_CLAIMS</t>
        </is>
      </c>
      <c r="B22" s="31" t="inlineStr">
        <is>
          <t>DMX valuation</t>
        </is>
      </c>
      <c r="C22" s="31" t="inlineStr">
        <is>
          <t>Other claims in equity bridge</t>
        </is>
      </c>
      <c r="D22" s="31" t="inlineStr">
        <is>
          <t>VND bn</t>
        </is>
      </c>
      <c r="E22" s="65" t="n">
        <v>0</v>
      </c>
      <c r="F22" s="65" t="n">
        <v>0</v>
      </c>
      <c r="G22" s="65" t="n">
        <v>0</v>
      </c>
      <c r="H22" s="66">
        <f>INDEX(E22:G22,1,MATCH($C$4,$E$10:$G$10,0))</f>
        <v/>
      </c>
      <c r="I22" s="31" t="inlineStr">
        <is>
          <t>Illustrative placeholder</t>
        </is>
      </c>
      <c r="J22" s="31" t="inlineStr">
        <is>
          <t>No unsupported claim is inserted</t>
        </is>
      </c>
      <c r="K22" s="31" t="inlineStr">
        <is>
          <t>Analyst placeholder</t>
        </is>
      </c>
    </row>
    <row r="23" ht="32" customHeight="1">
      <c r="A23" s="28" t="inlineStr">
        <is>
          <t>SOTP_DMX_OWNERSHIP</t>
        </is>
      </c>
      <c r="B23" s="28" t="inlineStr">
        <is>
          <t>MWG SOTP</t>
        </is>
      </c>
      <c r="C23" s="28" t="inlineStr">
        <is>
          <t>MWG effective ownership of DMX</t>
        </is>
      </c>
      <c r="D23" s="28" t="inlineStr">
        <is>
          <t>%</t>
        </is>
      </c>
      <c r="E23" s="63" t="n">
        <v>0.86</v>
      </c>
      <c r="F23" s="63" t="n">
        <v>0.86</v>
      </c>
      <c r="G23" s="63" t="n">
        <v>0.86</v>
      </c>
      <c r="H23" s="64">
        <f>INDEX(E23:G23,1,MATCH($C$4,$E$10:$G$10,0))</f>
        <v/>
      </c>
      <c r="I23" s="28" t="inlineStr">
        <is>
          <t>Illustrative proxy</t>
        </is>
      </c>
      <c r="J23" s="28" t="inlineStr">
        <is>
          <t>Rounded disclosure only; exact shares required for production</t>
        </is>
      </c>
      <c r="K23" s="28" t="inlineStr">
        <is>
          <t>DMX-IPO-COMPLETE</t>
        </is>
      </c>
    </row>
    <row r="24" ht="32" customHeight="1">
      <c r="A24" s="31" t="inlineStr">
        <is>
          <t>SOTP_BHX_REVENUE</t>
        </is>
      </c>
      <c r="B24" s="31" t="inlineStr">
        <is>
          <t>MWG SOTP</t>
        </is>
      </c>
      <c r="C24" s="31" t="inlineStr">
        <is>
          <t>BHX reference revenue</t>
        </is>
      </c>
      <c r="D24" s="31" t="inlineStr">
        <is>
          <t>VND bn</t>
        </is>
      </c>
      <c r="E24" s="65" t="n">
        <v>43000</v>
      </c>
      <c r="F24" s="65" t="n">
        <v>46000</v>
      </c>
      <c r="G24" s="65" t="n">
        <v>49000</v>
      </c>
      <c r="H24" s="66">
        <f>INDEX(E24:G24,1,MATCH($C$4,$E$10:$G$10,0))</f>
        <v/>
      </c>
      <c r="I24" s="31" t="inlineStr">
        <is>
          <t>Illustrative</t>
        </is>
      </c>
      <c r="J24" s="31" t="inlineStr">
        <is>
          <t>Portfolio model placeholder</t>
        </is>
      </c>
      <c r="K24" s="31" t="inlineStr">
        <is>
          <t>Analyst scenario</t>
        </is>
      </c>
    </row>
    <row r="25" ht="32" customHeight="1">
      <c r="A25" s="28" t="inlineStr">
        <is>
          <t>SOTP_BHX_EVS</t>
        </is>
      </c>
      <c r="B25" s="28" t="inlineStr">
        <is>
          <t>MWG SOTP</t>
        </is>
      </c>
      <c r="C25" s="28" t="inlineStr">
        <is>
          <t>BHX EV / Sales</t>
        </is>
      </c>
      <c r="D25" s="28" t="inlineStr">
        <is>
          <t>x</t>
        </is>
      </c>
      <c r="E25" s="67" t="n">
        <v>0.6</v>
      </c>
      <c r="F25" s="67" t="n">
        <v>0.8</v>
      </c>
      <c r="G25" s="67" t="n">
        <v>1</v>
      </c>
      <c r="H25" s="68">
        <f>INDEX(E25:G25,1,MATCH($C$4,$E$10:$G$10,0))</f>
        <v/>
      </c>
      <c r="I25" s="28" t="inlineStr">
        <is>
          <t>Illustrative</t>
        </is>
      </c>
      <c r="J25" s="28" t="inlineStr">
        <is>
          <t>Comparable analysis not yet populated</t>
        </is>
      </c>
      <c r="K25" s="28" t="inlineStr">
        <is>
          <t>Analyst scenario</t>
        </is>
      </c>
    </row>
    <row r="26" ht="32" customHeight="1">
      <c r="A26" s="31" t="inlineStr">
        <is>
          <t>SOTP_BHX_NET_DEBT</t>
        </is>
      </c>
      <c r="B26" s="31" t="inlineStr">
        <is>
          <t>MWG SOTP</t>
        </is>
      </c>
      <c r="C26" s="31" t="inlineStr">
        <is>
          <t>BHX net debt</t>
        </is>
      </c>
      <c r="D26" s="31" t="inlineStr">
        <is>
          <t>VND bn</t>
        </is>
      </c>
      <c r="E26" s="65" t="n">
        <v>3000</v>
      </c>
      <c r="F26" s="65" t="n">
        <v>2000</v>
      </c>
      <c r="G26" s="65" t="n">
        <v>1000</v>
      </c>
      <c r="H26" s="66">
        <f>INDEX(E26:G26,1,MATCH($C$4,$E$10:$G$10,0))</f>
        <v/>
      </c>
      <c r="I26" s="31" t="inlineStr">
        <is>
          <t>Illustrative</t>
        </is>
      </c>
      <c r="J26" s="31" t="inlineStr">
        <is>
          <t>Subsidiary-level bridge only</t>
        </is>
      </c>
      <c r="K26" s="31" t="inlineStr">
        <is>
          <t>Analyst scenario</t>
        </is>
      </c>
    </row>
    <row r="27" ht="32" customHeight="1">
      <c r="A27" s="28" t="inlineStr">
        <is>
          <t>SOTP_BHX_OWNERSHIP</t>
        </is>
      </c>
      <c r="B27" s="28" t="inlineStr">
        <is>
          <t>MWG SOTP</t>
        </is>
      </c>
      <c r="C27" s="28" t="inlineStr">
        <is>
          <t>MWG ownership of BHX</t>
        </is>
      </c>
      <c r="D27" s="28" t="inlineStr">
        <is>
          <t>%</t>
        </is>
      </c>
      <c r="E27" s="63" t="n">
        <v>0.95</v>
      </c>
      <c r="F27" s="63" t="n">
        <v>0.95</v>
      </c>
      <c r="G27" s="63" t="n">
        <v>0.95</v>
      </c>
      <c r="H27" s="64">
        <f>INDEX(E27:G27,1,MATCH($C$4,$E$10:$G$10,0))</f>
        <v/>
      </c>
      <c r="I27" s="28" t="inlineStr">
        <is>
          <t>Illustrative</t>
        </is>
      </c>
      <c r="J27" s="28" t="inlineStr">
        <is>
          <t>Replace with exact effective ownership</t>
        </is>
      </c>
      <c r="K27" s="28" t="inlineStr">
        <is>
          <t>Analyst scenario</t>
        </is>
      </c>
    </row>
    <row r="28" ht="32" customHeight="1">
      <c r="A28" s="31" t="inlineStr">
        <is>
          <t>SOTP_AK_REVENUE</t>
        </is>
      </c>
      <c r="B28" s="31" t="inlineStr">
        <is>
          <t>MWG SOTP</t>
        </is>
      </c>
      <c r="C28" s="31" t="inlineStr">
        <is>
          <t>An Khang reference revenue</t>
        </is>
      </c>
      <c r="D28" s="31" t="inlineStr">
        <is>
          <t>VND bn</t>
        </is>
      </c>
      <c r="E28" s="65" t="n">
        <v>1800</v>
      </c>
      <c r="F28" s="65" t="n">
        <v>2200</v>
      </c>
      <c r="G28" s="65" t="n">
        <v>2600</v>
      </c>
      <c r="H28" s="66">
        <f>INDEX(E28:G28,1,MATCH($C$4,$E$10:$G$10,0))</f>
        <v/>
      </c>
      <c r="I28" s="31" t="inlineStr">
        <is>
          <t>Illustrative</t>
        </is>
      </c>
      <c r="J28" s="31" t="inlineStr">
        <is>
          <t>Portfolio model placeholder</t>
        </is>
      </c>
      <c r="K28" s="31" t="inlineStr">
        <is>
          <t>Analyst scenario</t>
        </is>
      </c>
    </row>
    <row r="29" ht="32" customHeight="1">
      <c r="A29" s="28" t="inlineStr">
        <is>
          <t>SOTP_AK_EVS</t>
        </is>
      </c>
      <c r="B29" s="28" t="inlineStr">
        <is>
          <t>MWG SOTP</t>
        </is>
      </c>
      <c r="C29" s="28" t="inlineStr">
        <is>
          <t>An Khang EV / Sales</t>
        </is>
      </c>
      <c r="D29" s="28" t="inlineStr">
        <is>
          <t>x</t>
        </is>
      </c>
      <c r="E29" s="67" t="n">
        <v>0.25</v>
      </c>
      <c r="F29" s="67" t="n">
        <v>0.35</v>
      </c>
      <c r="G29" s="67" t="n">
        <v>0.45</v>
      </c>
      <c r="H29" s="68">
        <f>INDEX(E29:G29,1,MATCH($C$4,$E$10:$G$10,0))</f>
        <v/>
      </c>
      <c r="I29" s="28" t="inlineStr">
        <is>
          <t>Illustrative</t>
        </is>
      </c>
      <c r="J29" s="28" t="inlineStr">
        <is>
          <t>Loss-making / early-stage range</t>
        </is>
      </c>
      <c r="K29" s="28" t="inlineStr">
        <is>
          <t>Analyst scenario</t>
        </is>
      </c>
    </row>
    <row r="30" ht="32" customHeight="1">
      <c r="A30" s="31" t="inlineStr">
        <is>
          <t>SOTP_AK_NET_DEBT</t>
        </is>
      </c>
      <c r="B30" s="31" t="inlineStr">
        <is>
          <t>MWG SOTP</t>
        </is>
      </c>
      <c r="C30" s="31" t="inlineStr">
        <is>
          <t>An Khang net debt</t>
        </is>
      </c>
      <c r="D30" s="31" t="inlineStr">
        <is>
          <t>VND bn</t>
        </is>
      </c>
      <c r="E30" s="65" t="n">
        <v>500</v>
      </c>
      <c r="F30" s="65" t="n">
        <v>500</v>
      </c>
      <c r="G30" s="65" t="n">
        <v>500</v>
      </c>
      <c r="H30" s="66">
        <f>INDEX(E30:G30,1,MATCH($C$4,$E$10:$G$10,0))</f>
        <v/>
      </c>
      <c r="I30" s="31" t="inlineStr">
        <is>
          <t>Illustrative</t>
        </is>
      </c>
      <c r="J30" s="31" t="inlineStr">
        <is>
          <t>Subsidiary-level bridge only</t>
        </is>
      </c>
      <c r="K30" s="31" t="inlineStr">
        <is>
          <t>Analyst scenario</t>
        </is>
      </c>
    </row>
    <row r="31" ht="32" customHeight="1">
      <c r="A31" s="28" t="inlineStr">
        <is>
          <t>SOTP_AK_OWNERSHIP</t>
        </is>
      </c>
      <c r="B31" s="28" t="inlineStr">
        <is>
          <t>MWG SOTP</t>
        </is>
      </c>
      <c r="C31" s="28" t="inlineStr">
        <is>
          <t>MWG ownership of An Khang</t>
        </is>
      </c>
      <c r="D31" s="28" t="inlineStr">
        <is>
          <t>%</t>
        </is>
      </c>
      <c r="E31" s="63" t="n">
        <v>1</v>
      </c>
      <c r="F31" s="63" t="n">
        <v>1</v>
      </c>
      <c r="G31" s="63" t="n">
        <v>1</v>
      </c>
      <c r="H31" s="64">
        <f>INDEX(E31:G31,1,MATCH($C$4,$E$10:$G$10,0))</f>
        <v/>
      </c>
      <c r="I31" s="28" t="inlineStr">
        <is>
          <t>Illustrative</t>
        </is>
      </c>
      <c r="J31" s="28" t="inlineStr">
        <is>
          <t>Replace with exact effective ownership</t>
        </is>
      </c>
      <c r="K31" s="28" t="inlineStr">
        <is>
          <t>Analyst scenario</t>
        </is>
      </c>
    </row>
    <row r="32" ht="32" customHeight="1">
      <c r="A32" s="31" t="inlineStr">
        <is>
          <t>SOTP_AVA_REVENUE</t>
        </is>
      </c>
      <c r="B32" s="31" t="inlineStr">
        <is>
          <t>MWG SOTP</t>
        </is>
      </c>
      <c r="C32" s="31" t="inlineStr">
        <is>
          <t>AVAKids reference revenue</t>
        </is>
      </c>
      <c r="D32" s="31" t="inlineStr">
        <is>
          <t>VND bn</t>
        </is>
      </c>
      <c r="E32" s="65" t="n">
        <v>1000</v>
      </c>
      <c r="F32" s="65" t="n">
        <v>1200</v>
      </c>
      <c r="G32" s="65" t="n">
        <v>1400</v>
      </c>
      <c r="H32" s="66">
        <f>INDEX(E32:G32,1,MATCH($C$4,$E$10:$G$10,0))</f>
        <v/>
      </c>
      <c r="I32" s="31" t="inlineStr">
        <is>
          <t>Illustrative</t>
        </is>
      </c>
      <c r="J32" s="31" t="inlineStr">
        <is>
          <t>Portfolio model placeholder</t>
        </is>
      </c>
      <c r="K32" s="31" t="inlineStr">
        <is>
          <t>Analyst scenario</t>
        </is>
      </c>
    </row>
    <row r="33" ht="32" customHeight="1">
      <c r="A33" s="28" t="inlineStr">
        <is>
          <t>SOTP_AVA_EVS</t>
        </is>
      </c>
      <c r="B33" s="28" t="inlineStr">
        <is>
          <t>MWG SOTP</t>
        </is>
      </c>
      <c r="C33" s="28" t="inlineStr">
        <is>
          <t>AVAKids EV / Sales</t>
        </is>
      </c>
      <c r="D33" s="28" t="inlineStr">
        <is>
          <t>x</t>
        </is>
      </c>
      <c r="E33" s="67" t="n">
        <v>0.4</v>
      </c>
      <c r="F33" s="67" t="n">
        <v>0.6</v>
      </c>
      <c r="G33" s="67" t="n">
        <v>0.8</v>
      </c>
      <c r="H33" s="68">
        <f>INDEX(E33:G33,1,MATCH($C$4,$E$10:$G$10,0))</f>
        <v/>
      </c>
      <c r="I33" s="28" t="inlineStr">
        <is>
          <t>Illustrative</t>
        </is>
      </c>
      <c r="J33" s="28" t="inlineStr">
        <is>
          <t>Early-stage range</t>
        </is>
      </c>
      <c r="K33" s="28" t="inlineStr">
        <is>
          <t>Analyst scenario</t>
        </is>
      </c>
    </row>
    <row r="34" ht="32" customHeight="1">
      <c r="A34" s="31" t="inlineStr">
        <is>
          <t>SOTP_AVA_NET_DEBT</t>
        </is>
      </c>
      <c r="B34" s="31" t="inlineStr">
        <is>
          <t>MWG SOTP</t>
        </is>
      </c>
      <c r="C34" s="31" t="inlineStr">
        <is>
          <t>AVAKids net debt</t>
        </is>
      </c>
      <c r="D34" s="31" t="inlineStr">
        <is>
          <t>VND bn</t>
        </is>
      </c>
      <c r="E34" s="65" t="n">
        <v>200</v>
      </c>
      <c r="F34" s="65" t="n">
        <v>200</v>
      </c>
      <c r="G34" s="65" t="n">
        <v>200</v>
      </c>
      <c r="H34" s="66">
        <f>INDEX(E34:G34,1,MATCH($C$4,$E$10:$G$10,0))</f>
        <v/>
      </c>
      <c r="I34" s="31" t="inlineStr">
        <is>
          <t>Illustrative</t>
        </is>
      </c>
      <c r="J34" s="31" t="inlineStr">
        <is>
          <t>Subsidiary-level bridge only</t>
        </is>
      </c>
      <c r="K34" s="31" t="inlineStr">
        <is>
          <t>Analyst scenario</t>
        </is>
      </c>
    </row>
    <row r="35" ht="32" customHeight="1">
      <c r="A35" s="28" t="inlineStr">
        <is>
          <t>SOTP_AVA_OWNERSHIP</t>
        </is>
      </c>
      <c r="B35" s="28" t="inlineStr">
        <is>
          <t>MWG SOTP</t>
        </is>
      </c>
      <c r="C35" s="28" t="inlineStr">
        <is>
          <t>MWG ownership of AVAKids</t>
        </is>
      </c>
      <c r="D35" s="28" t="inlineStr">
        <is>
          <t>%</t>
        </is>
      </c>
      <c r="E35" s="63" t="n">
        <v>1</v>
      </c>
      <c r="F35" s="63" t="n">
        <v>1</v>
      </c>
      <c r="G35" s="63" t="n">
        <v>1</v>
      </c>
      <c r="H35" s="64">
        <f>INDEX(E35:G35,1,MATCH($C$4,$E$10:$G$10,0))</f>
        <v/>
      </c>
      <c r="I35" s="28" t="inlineStr">
        <is>
          <t>Illustrative</t>
        </is>
      </c>
      <c r="J35" s="28" t="inlineStr">
        <is>
          <t>Replace with exact effective ownership</t>
        </is>
      </c>
      <c r="K35" s="28" t="inlineStr">
        <is>
          <t>Analyst scenario</t>
        </is>
      </c>
    </row>
    <row r="36" ht="32" customHeight="1">
      <c r="A36" s="31" t="inlineStr">
        <is>
          <t>SOTP_OTHER_INV</t>
        </is>
      </c>
      <c r="B36" s="31" t="inlineStr">
        <is>
          <t>MWG SOTP</t>
        </is>
      </c>
      <c r="C36" s="31" t="inlineStr">
        <is>
          <t>Other investments</t>
        </is>
      </c>
      <c r="D36" s="31" t="inlineStr">
        <is>
          <t>VND bn</t>
        </is>
      </c>
      <c r="E36" s="65" t="n">
        <v>500</v>
      </c>
      <c r="F36" s="65" t="n">
        <v>1000</v>
      </c>
      <c r="G36" s="65" t="n">
        <v>1500</v>
      </c>
      <c r="H36" s="66">
        <f>INDEX(E36:G36,1,MATCH($C$4,$E$10:$G$10,0))</f>
        <v/>
      </c>
      <c r="I36" s="31" t="inlineStr">
        <is>
          <t>Illustrative</t>
        </is>
      </c>
      <c r="J36" s="31" t="inlineStr">
        <is>
          <t>Equity value, no separate net-debt adjustment</t>
        </is>
      </c>
      <c r="K36" s="31" t="inlineStr">
        <is>
          <t>Analyst scenario</t>
        </is>
      </c>
    </row>
    <row r="37" ht="32" customHeight="1">
      <c r="A37" s="28" t="inlineStr">
        <is>
          <t>SOTP_PARENT_ASSETS</t>
        </is>
      </c>
      <c r="B37" s="28" t="inlineStr">
        <is>
          <t>MWG SOTP</t>
        </is>
      </c>
      <c r="C37" s="28" t="inlineStr">
        <is>
          <t>Parent non-operating assets</t>
        </is>
      </c>
      <c r="D37" s="28" t="inlineStr">
        <is>
          <t>VND bn</t>
        </is>
      </c>
      <c r="E37" s="65" t="n">
        <v>0</v>
      </c>
      <c r="F37" s="65" t="n">
        <v>0</v>
      </c>
      <c r="G37" s="65" t="n">
        <v>0</v>
      </c>
      <c r="H37" s="66">
        <f>INDEX(E37:G37,1,MATCH($C$4,$E$10:$G$10,0))</f>
        <v/>
      </c>
      <c r="I37" s="28" t="inlineStr">
        <is>
          <t>Illustrative placeholder</t>
        </is>
      </c>
      <c r="J37" s="28" t="inlineStr">
        <is>
          <t>Avoids unsupported double count</t>
        </is>
      </c>
      <c r="K37" s="28" t="inlineStr">
        <is>
          <t>Analyst placeholder</t>
        </is>
      </c>
    </row>
    <row r="38" ht="32" customHeight="1">
      <c r="A38" s="31" t="inlineStr">
        <is>
          <t>SOTP_PARENT_NET_DEBT</t>
        </is>
      </c>
      <c r="B38" s="31" t="inlineStr">
        <is>
          <t>MWG SOTP</t>
        </is>
      </c>
      <c r="C38" s="31" t="inlineStr">
        <is>
          <t>Parent-only net debt</t>
        </is>
      </c>
      <c r="D38" s="31" t="inlineStr">
        <is>
          <t>VND bn</t>
        </is>
      </c>
      <c r="E38" s="65" t="n">
        <v>2500</v>
      </c>
      <c r="F38" s="65" t="n">
        <v>2000</v>
      </c>
      <c r="G38" s="65" t="n">
        <v>1500</v>
      </c>
      <c r="H38" s="66">
        <f>INDEX(E38:G38,1,MATCH($C$4,$E$10:$G$10,0))</f>
        <v/>
      </c>
      <c r="I38" s="31" t="inlineStr">
        <is>
          <t>Illustrative</t>
        </is>
      </c>
      <c r="J38" s="31" t="inlineStr">
        <is>
          <t>Must not use consolidated debt after valuing subs at equity</t>
        </is>
      </c>
      <c r="K38" s="31" t="inlineStr">
        <is>
          <t>Analyst scenario</t>
        </is>
      </c>
    </row>
    <row r="39" ht="32" customHeight="1">
      <c r="A39" s="28" t="inlineStr">
        <is>
          <t>SOTP_PARENT_PROVISIONS</t>
        </is>
      </c>
      <c r="B39" s="28" t="inlineStr">
        <is>
          <t>MWG SOTP</t>
        </is>
      </c>
      <c r="C39" s="28" t="inlineStr">
        <is>
          <t>Parent provisions / other claims</t>
        </is>
      </c>
      <c r="D39" s="28" t="inlineStr">
        <is>
          <t>VND bn</t>
        </is>
      </c>
      <c r="E39" s="65" t="n">
        <v>1000</v>
      </c>
      <c r="F39" s="65" t="n">
        <v>500</v>
      </c>
      <c r="G39" s="65" t="n">
        <v>250</v>
      </c>
      <c r="H39" s="66">
        <f>INDEX(E39:G39,1,MATCH($C$4,$E$10:$G$10,0))</f>
        <v/>
      </c>
      <c r="I39" s="28" t="inlineStr">
        <is>
          <t>Illustrative</t>
        </is>
      </c>
      <c r="J39" s="28" t="inlineStr">
        <is>
          <t>Separate parent claims</t>
        </is>
      </c>
      <c r="K39" s="28" t="inlineStr">
        <is>
          <t>Analyst scenario</t>
        </is>
      </c>
    </row>
    <row r="40" ht="32" customHeight="1">
      <c r="A40" s="31" t="inlineStr">
        <is>
          <t>SOTP_HOLDCO_DISC</t>
        </is>
      </c>
      <c r="B40" s="31" t="inlineStr">
        <is>
          <t>MWG SOTP</t>
        </is>
      </c>
      <c r="C40" s="31" t="inlineStr">
        <is>
          <t>Holding-company discount</t>
        </is>
      </c>
      <c r="D40" s="31" t="inlineStr">
        <is>
          <t>%</t>
        </is>
      </c>
      <c r="E40" s="63" t="n">
        <v>0.25</v>
      </c>
      <c r="F40" s="63" t="n">
        <v>0.15</v>
      </c>
      <c r="G40" s="63" t="n">
        <v>0.05</v>
      </c>
      <c r="H40" s="64">
        <f>INDEX(E40:G40,1,MATCH($C$4,$E$10:$G$10,0))</f>
        <v/>
      </c>
      <c r="I40" s="31" t="inlineStr">
        <is>
          <t>Illustrative</t>
        </is>
      </c>
      <c r="J40" s="31" t="inlineStr">
        <is>
          <t>Sensitivity, not a plug to a target price</t>
        </is>
      </c>
      <c r="K40" s="31" t="inlineStr">
        <is>
          <t>Analyst scenario</t>
        </is>
      </c>
    </row>
    <row r="41" ht="32" customHeight="1">
      <c r="A41" s="28" t="inlineStr">
        <is>
          <t>SOTP_MWG_SHARES</t>
        </is>
      </c>
      <c r="B41" s="28" t="inlineStr">
        <is>
          <t>MWG SOTP</t>
        </is>
      </c>
      <c r="C41" s="28" t="inlineStr">
        <is>
          <t>MWG diluted shares</t>
        </is>
      </c>
      <c r="D41" s="28" t="inlineStr">
        <is>
          <t>mn shares</t>
        </is>
      </c>
      <c r="E41" s="69" t="n">
        <v>1477.2</v>
      </c>
      <c r="F41" s="69" t="n">
        <v>1477.2</v>
      </c>
      <c r="G41" s="69" t="n">
        <v>1477.2</v>
      </c>
      <c r="H41" s="70">
        <f>INDEX(E41:G41,1,MATCH($C$4,$E$10:$G$10,0))</f>
        <v/>
      </c>
      <c r="I41" s="28" t="inlineStr">
        <is>
          <t>Illustrative placeholder</t>
        </is>
      </c>
      <c r="J41" s="28" t="inlineStr">
        <is>
          <t>Replace with verified diluted shares at valuation date</t>
        </is>
      </c>
      <c r="K41" s="28" t="inlineStr">
        <is>
          <t>Analyst placeholder</t>
        </is>
      </c>
    </row>
  </sheetData>
  <autoFilter ref="A10:K41"/>
  <mergeCells count="2">
    <mergeCell ref="A2:K2"/>
    <mergeCell ref="A1:K1"/>
  </mergeCells>
  <dataValidations count="1">
    <dataValidation sqref="C4" showDropDown="0" showInputMessage="0" showErrorMessage="0" allowBlank="0" errorTitle="Invalid scenario" error="Select Bear, Base or Bull." promptTitle="Scenario" prompt="Select the active operating and valuation scenario." type="list">
      <formula1>"Bear,Base,Bull"</formula1>
    </dataValidation>
  </dataValidation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00A6A6"/>
    <outlinePr summaryBelow="1" summaryRight="1"/>
    <pageSetUpPr fitToPage="1"/>
  </sheetPr>
  <dimension ref="A1:M30"/>
  <sheetViews>
    <sheetView showGridLines="0" zoomScale="85"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5" customWidth="1" min="3" max="3"/>
    <col width="15" customWidth="1" min="4" max="4"/>
    <col width="15" customWidth="1" min="5" max="5"/>
    <col width="15" customWidth="1" min="6" max="6"/>
    <col width="15" customWidth="1" min="7" max="7"/>
    <col width="15" customWidth="1" min="8" max="8"/>
    <col width="4" customWidth="1" min="9" max="9"/>
    <col width="34" customWidth="1" min="10" max="10"/>
    <col width="20" customWidth="1" min="11" max="11"/>
    <col width="24" customWidth="1" min="12" max="12"/>
    <col width="45" customWidth="1" min="13" max="13"/>
  </cols>
  <sheetData>
    <row r="1" ht="31" customHeight="1">
      <c r="A1" s="20" t="inlineStr">
        <is>
          <t>DMX illustrative FCFF DCF</t>
        </is>
      </c>
    </row>
    <row r="2" ht="23" customHeight="1">
      <c r="A2" s="21" t="inlineStr">
        <is>
          <t>Management revenue path + explicit analyst EBIT/tax/D&amp;A/capex/NWC drivers. Mid-year convention; post-IPO balance-sheet bridge.</t>
        </is>
      </c>
    </row>
    <row r="4" ht="30" customHeight="1">
      <c r="B4" s="14" t="inlineStr">
        <is>
          <t>FCFF build</t>
        </is>
      </c>
      <c r="C4" s="14" t="inlineStr">
        <is>
          <t>2025A</t>
        </is>
      </c>
      <c r="D4" s="14" t="inlineStr">
        <is>
          <t>2026E</t>
        </is>
      </c>
      <c r="E4" s="14" t="inlineStr">
        <is>
          <t>2027E</t>
        </is>
      </c>
      <c r="F4" s="14" t="inlineStr">
        <is>
          <t>2028E</t>
        </is>
      </c>
      <c r="G4" s="14" t="inlineStr">
        <is>
          <t>2029E</t>
        </is>
      </c>
      <c r="H4" s="14" t="inlineStr">
        <is>
          <t>2030E</t>
        </is>
      </c>
      <c r="J4" s="14" t="inlineStr">
        <is>
          <t>Valuation summary</t>
        </is>
      </c>
      <c r="K4" s="14" t="inlineStr">
        <is>
          <t>Value</t>
        </is>
      </c>
      <c r="L4" s="14" t="inlineStr">
        <is>
          <t>Status</t>
        </is>
      </c>
      <c r="M4" s="14" t="inlineStr">
        <is>
          <t>Comment</t>
        </is>
      </c>
    </row>
    <row r="5" ht="27" customHeight="1">
      <c r="B5" s="71" t="inlineStr">
        <is>
          <t>Data status</t>
        </is>
      </c>
      <c r="C5" s="54" t="inlineStr">
        <is>
          <t>Actual / company presentation</t>
        </is>
      </c>
      <c r="D5" s="54" t="inlineStr">
        <is>
          <t>Illustrative forecast</t>
        </is>
      </c>
      <c r="E5" s="54" t="inlineStr">
        <is>
          <t>Illustrative forecast</t>
        </is>
      </c>
      <c r="F5" s="54" t="inlineStr">
        <is>
          <t>Illustrative forecast</t>
        </is>
      </c>
      <c r="G5" s="54" t="inlineStr">
        <is>
          <t>Illustrative forecast</t>
        </is>
      </c>
      <c r="H5" s="54" t="inlineStr">
        <is>
          <t>Illustrative forecast</t>
        </is>
      </c>
      <c r="J5" s="53" t="inlineStr">
        <is>
          <t>Active scenario</t>
        </is>
      </c>
      <c r="K5" s="72">
        <f>Assumptions!$C$4</f>
        <v/>
      </c>
      <c r="L5" s="28" t="inlineStr">
        <is>
          <t>Control</t>
        </is>
      </c>
      <c r="M5" s="28" t="inlineStr">
        <is>
          <t>Scenario switch</t>
        </is>
      </c>
    </row>
    <row r="6" ht="27" customHeight="1">
      <c r="B6" s="71" t="inlineStr">
        <is>
          <t>Management revenue path</t>
        </is>
      </c>
      <c r="C6" s="73">
        <f>Mgmt_Forecast!C6</f>
        <v/>
      </c>
      <c r="D6" s="73">
        <f>Mgmt_Forecast!D6</f>
        <v/>
      </c>
      <c r="E6" s="73">
        <f>Mgmt_Forecast!E6</f>
        <v/>
      </c>
      <c r="F6" s="73">
        <f>Mgmt_Forecast!F6</f>
        <v/>
      </c>
      <c r="G6" s="73">
        <f>Mgmt_Forecast!G6</f>
        <v/>
      </c>
      <c r="H6" s="73">
        <f>Mgmt_Forecast!H6</f>
        <v/>
      </c>
      <c r="J6" s="55" t="inlineStr">
        <is>
          <t>WACC</t>
        </is>
      </c>
      <c r="K6" s="74">
        <f>Assumptions!$H$18</f>
        <v/>
      </c>
      <c r="L6" s="31" t="inlineStr">
        <is>
          <t>Illustrative</t>
        </is>
      </c>
      <c r="M6" s="31" t="inlineStr">
        <is>
          <t>Nominal VND assumption</t>
        </is>
      </c>
    </row>
    <row r="7" ht="27" customHeight="1">
      <c r="B7" s="71" t="inlineStr">
        <is>
          <t>Management revenue growth</t>
        </is>
      </c>
      <c r="C7" s="57" t="inlineStr">
        <is>
          <t>N/A</t>
        </is>
      </c>
      <c r="D7" s="75">
        <f>Mgmt_Forecast!D7</f>
        <v/>
      </c>
      <c r="E7" s="75">
        <f>Mgmt_Forecast!E7</f>
        <v/>
      </c>
      <c r="F7" s="75">
        <f>Mgmt_Forecast!F7</f>
        <v/>
      </c>
      <c r="G7" s="75">
        <f>Mgmt_Forecast!G7</f>
        <v/>
      </c>
      <c r="H7" s="75">
        <f>Mgmt_Forecast!H7</f>
        <v/>
      </c>
      <c r="J7" s="53" t="inlineStr">
        <is>
          <t>Terminal growth</t>
        </is>
      </c>
      <c r="K7" s="76">
        <f>Assumptions!$H$19</f>
        <v/>
      </c>
      <c r="L7" s="28" t="inlineStr">
        <is>
          <t>Illustrative</t>
        </is>
      </c>
      <c r="M7" s="28" t="inlineStr">
        <is>
          <t>Must be below WACC</t>
        </is>
      </c>
    </row>
    <row r="8" ht="27" customHeight="1">
      <c r="B8" s="77" t="inlineStr">
        <is>
          <t>Model revenue</t>
        </is>
      </c>
      <c r="C8" s="78">
        <f>C6</f>
        <v/>
      </c>
      <c r="D8" s="78">
        <f>C8*(1+D7+D9)</f>
        <v/>
      </c>
      <c r="E8" s="78">
        <f>D8*(1+E7+E9)</f>
        <v/>
      </c>
      <c r="F8" s="78">
        <f>E8*(1+F7+F9)</f>
        <v/>
      </c>
      <c r="G8" s="78">
        <f>F8*(1+G7+G9)</f>
        <v/>
      </c>
      <c r="H8" s="78">
        <f>G8*(1+H7+H9)</f>
        <v/>
      </c>
      <c r="J8" s="55" t="inlineStr">
        <is>
          <t>Terminal FCFF</t>
        </is>
      </c>
      <c r="K8" s="46">
        <f>H21*(1+K7)</f>
        <v/>
      </c>
      <c r="L8" s="31" t="inlineStr">
        <is>
          <t>Calculated</t>
        </is>
      </c>
      <c r="M8" s="31" t="inlineStr">
        <is>
          <t>2030E FCFF grown by g</t>
        </is>
      </c>
    </row>
    <row r="9" ht="27" customHeight="1">
      <c r="B9" s="71" t="inlineStr">
        <is>
          <t>Scenario growth adjustment</t>
        </is>
      </c>
      <c r="C9" s="57" t="inlineStr">
        <is>
          <t>N/A</t>
        </is>
      </c>
      <c r="D9" s="75">
        <f>Assumptions!$H$11</f>
        <v/>
      </c>
      <c r="E9" s="75">
        <f>Assumptions!$H$11</f>
        <v/>
      </c>
      <c r="F9" s="75">
        <f>Assumptions!$H$11</f>
        <v/>
      </c>
      <c r="G9" s="75">
        <f>Assumptions!$H$11</f>
        <v/>
      </c>
      <c r="H9" s="75">
        <f>Assumptions!$H$11</f>
        <v/>
      </c>
      <c r="J9" s="53" t="inlineStr">
        <is>
          <t>Terminal value</t>
        </is>
      </c>
      <c r="K9" s="48">
        <f>K8/(K6-K7)</f>
        <v/>
      </c>
      <c r="L9" s="28" t="inlineStr">
        <is>
          <t>Calculated</t>
        </is>
      </c>
      <c r="M9" s="28" t="inlineStr">
        <is>
          <t>Perpetuity growth</t>
        </is>
      </c>
    </row>
    <row r="10" ht="27" customHeight="1">
      <c r="B10" s="71" t="inlineStr">
        <is>
          <t>Management gross margin reference</t>
        </is>
      </c>
      <c r="C10" s="79">
        <f>Mgmt_Forecast!C11</f>
        <v/>
      </c>
      <c r="D10" s="79">
        <f>Mgmt_Forecast!D11</f>
        <v/>
      </c>
      <c r="E10" s="79">
        <f>Mgmt_Forecast!E11</f>
        <v/>
      </c>
      <c r="F10" s="79">
        <f>Mgmt_Forecast!F11</f>
        <v/>
      </c>
      <c r="G10" s="79">
        <f>Mgmt_Forecast!G11</f>
        <v/>
      </c>
      <c r="H10" s="79">
        <f>Mgmt_Forecast!H11</f>
        <v/>
      </c>
      <c r="J10" s="55" t="inlineStr">
        <is>
          <t>PV of terminal value</t>
        </is>
      </c>
      <c r="K10" s="46">
        <f>K9*H23</f>
        <v/>
      </c>
      <c r="L10" s="31" t="inlineStr">
        <is>
          <t>Calculated</t>
        </is>
      </c>
      <c r="M10" s="31" t="inlineStr">
        <is>
          <t>Mid-year convention</t>
        </is>
      </c>
    </row>
    <row r="11" ht="27" customHeight="1">
      <c r="B11" s="71" t="inlineStr">
        <is>
          <t>Management NPAT reference</t>
        </is>
      </c>
      <c r="C11" s="80">
        <f>Mgmt_Forecast!C8</f>
        <v/>
      </c>
      <c r="D11" s="80">
        <f>Mgmt_Forecast!D8</f>
        <v/>
      </c>
      <c r="E11" s="80">
        <f>Mgmt_Forecast!E8</f>
        <v/>
      </c>
      <c r="F11" s="80">
        <f>Mgmt_Forecast!F8</f>
        <v/>
      </c>
      <c r="G11" s="80">
        <f>Mgmt_Forecast!G8</f>
        <v/>
      </c>
      <c r="H11" s="80">
        <f>Mgmt_Forecast!H8</f>
        <v/>
      </c>
      <c r="J11" s="53" t="inlineStr">
        <is>
          <t>PV of explicit FCFF</t>
        </is>
      </c>
      <c r="K11" s="48">
        <f>SUM(D24:H24)</f>
        <v/>
      </c>
      <c r="L11" s="28" t="inlineStr">
        <is>
          <t>Calculated</t>
        </is>
      </c>
      <c r="M11" s="28" t="inlineStr">
        <is>
          <t>2026E–2030E</t>
        </is>
      </c>
    </row>
    <row r="12" ht="27" customHeight="1">
      <c r="B12" s="71" t="inlineStr">
        <is>
          <t>Illustrative EBIT margin</t>
        </is>
      </c>
      <c r="C12" s="58" t="inlineStr">
        <is>
          <t>N/A</t>
        </is>
      </c>
      <c r="D12" s="79">
        <f>Assumptions!$H$12</f>
        <v/>
      </c>
      <c r="E12" s="79">
        <f>D12+Assumptions!$H$13</f>
        <v/>
      </c>
      <c r="F12" s="79">
        <f>E12+Assumptions!$H$13</f>
        <v/>
      </c>
      <c r="G12" s="79">
        <f>F12+Assumptions!$H$13</f>
        <v/>
      </c>
      <c r="H12" s="79">
        <f>G12+Assumptions!$H$13</f>
        <v/>
      </c>
      <c r="J12" s="55" t="inlineStr">
        <is>
          <t>Enterprise value</t>
        </is>
      </c>
      <c r="K12" s="46">
        <f>K10+K11</f>
        <v/>
      </c>
      <c r="L12" s="31" t="inlineStr">
        <is>
          <t>Calculated</t>
        </is>
      </c>
      <c r="M12" s="31" t="inlineStr">
        <is>
          <t>FCFF enterprise value</t>
        </is>
      </c>
    </row>
    <row r="13" ht="27" customHeight="1">
      <c r="B13" s="77" t="inlineStr">
        <is>
          <t>EBIT</t>
        </is>
      </c>
      <c r="C13" s="81" t="inlineStr">
        <is>
          <t>N/A</t>
        </is>
      </c>
      <c r="D13" s="81">
        <f>D8*D12</f>
        <v/>
      </c>
      <c r="E13" s="81">
        <f>E8*E12</f>
        <v/>
      </c>
      <c r="F13" s="81">
        <f>F8*F12</f>
        <v/>
      </c>
      <c r="G13" s="81">
        <f>G8*G12</f>
        <v/>
      </c>
      <c r="H13" s="81">
        <f>H8*H12</f>
        <v/>
      </c>
      <c r="J13" s="53" t="inlineStr">
        <is>
          <t>Terminal value / EV</t>
        </is>
      </c>
      <c r="K13" s="50">
        <f>K10/K12</f>
        <v/>
      </c>
      <c r="L13" s="28" t="inlineStr">
        <is>
          <t>Calculated</t>
        </is>
      </c>
      <c r="M13" s="28" t="inlineStr">
        <is>
          <t>High percentages require caution</t>
        </is>
      </c>
    </row>
    <row r="14" ht="25" customHeight="1">
      <c r="B14" s="71" t="inlineStr">
        <is>
          <t>Cash tax rate</t>
        </is>
      </c>
      <c r="C14" s="58" t="inlineStr">
        <is>
          <t>N/A</t>
        </is>
      </c>
      <c r="D14" s="79">
        <f>Assumptions!$H$14</f>
        <v/>
      </c>
      <c r="E14" s="79">
        <f>Assumptions!$H$14</f>
        <v/>
      </c>
      <c r="F14" s="79">
        <f>Assumptions!$H$14</f>
        <v/>
      </c>
      <c r="G14" s="79">
        <f>Assumptions!$H$14</f>
        <v/>
      </c>
      <c r="H14" s="79">
        <f>Assumptions!$H$14</f>
        <v/>
      </c>
    </row>
    <row r="15" ht="27" customHeight="1">
      <c r="B15" s="71" t="inlineStr">
        <is>
          <t>NOPAT</t>
        </is>
      </c>
      <c r="C15" s="81" t="inlineStr">
        <is>
          <t>N/A</t>
        </is>
      </c>
      <c r="D15" s="81">
        <f>D13*(1-D14)</f>
        <v/>
      </c>
      <c r="E15" s="81">
        <f>E13*(1-E14)</f>
        <v/>
      </c>
      <c r="F15" s="81">
        <f>F13*(1-F14)</f>
        <v/>
      </c>
      <c r="G15" s="81">
        <f>G13*(1-G14)</f>
        <v/>
      </c>
      <c r="H15" s="81">
        <f>H13*(1-H14)</f>
        <v/>
      </c>
      <c r="J15" s="53" t="inlineStr">
        <is>
          <t>Gross debt</t>
        </is>
      </c>
      <c r="K15" s="82">
        <f>Q1_Actuals!D36</f>
        <v/>
      </c>
      <c r="L15" s="28" t="inlineStr">
        <is>
          <t>Actual at 31-Mar-2026</t>
        </is>
      </c>
      <c r="M15" s="28" t="inlineStr">
        <is>
          <t>Short-term debt; no long-term debt line in source BS</t>
        </is>
      </c>
    </row>
    <row r="16" ht="27" customHeight="1">
      <c r="B16" s="71" t="inlineStr">
        <is>
          <t>D&amp;A / revenue</t>
        </is>
      </c>
      <c r="C16" s="58" t="inlineStr">
        <is>
          <t>N/A</t>
        </is>
      </c>
      <c r="D16" s="79">
        <f>Assumptions!$H$15</f>
        <v/>
      </c>
      <c r="E16" s="79">
        <f>Assumptions!$H$15</f>
        <v/>
      </c>
      <c r="F16" s="79">
        <f>Assumptions!$H$15</f>
        <v/>
      </c>
      <c r="G16" s="79">
        <f>Assumptions!$H$15</f>
        <v/>
      </c>
      <c r="H16" s="79">
        <f>Assumptions!$H$15</f>
        <v/>
      </c>
      <c r="J16" s="55" t="inlineStr">
        <is>
          <t>Cash &amp; equivalents</t>
        </is>
      </c>
      <c r="K16" s="83">
        <f>Q1_Actuals!D25</f>
        <v/>
      </c>
      <c r="L16" s="31" t="inlineStr">
        <is>
          <t>Actual at 31-Mar-2026</t>
        </is>
      </c>
      <c r="M16" s="31" t="inlineStr">
        <is>
          <t>Post balance-sheet date IPO effects are not assumed</t>
        </is>
      </c>
    </row>
    <row r="17" ht="27" customHeight="1">
      <c r="B17" s="71" t="inlineStr">
        <is>
          <t>D&amp;A</t>
        </is>
      </c>
      <c r="C17" s="81" t="inlineStr">
        <is>
          <t>N/A</t>
        </is>
      </c>
      <c r="D17" s="81">
        <f>D8*D16</f>
        <v/>
      </c>
      <c r="E17" s="81">
        <f>E8*E16</f>
        <v/>
      </c>
      <c r="F17" s="81">
        <f>F8*F16</f>
        <v/>
      </c>
      <c r="G17" s="81">
        <f>G8*G16</f>
        <v/>
      </c>
      <c r="H17" s="81">
        <f>H8*H16</f>
        <v/>
      </c>
      <c r="J17" s="53" t="inlineStr">
        <is>
          <t>Short-term investments</t>
        </is>
      </c>
      <c r="K17" s="82">
        <f>Q1_Actuals!D26</f>
        <v/>
      </c>
      <c r="L17" s="28" t="inlineStr">
        <is>
          <t>Actual at 31-Mar-2026</t>
        </is>
      </c>
      <c r="M17" s="28" t="inlineStr">
        <is>
          <t>Held-to-maturity investments</t>
        </is>
      </c>
    </row>
    <row r="18" ht="27" customHeight="1">
      <c r="B18" s="71" t="inlineStr">
        <is>
          <t>Capex / revenue</t>
        </is>
      </c>
      <c r="C18" s="58" t="inlineStr">
        <is>
          <t>N/A</t>
        </is>
      </c>
      <c r="D18" s="79">
        <f>Assumptions!$H$16</f>
        <v/>
      </c>
      <c r="E18" s="79">
        <f>Assumptions!$H$16</f>
        <v/>
      </c>
      <c r="F18" s="79">
        <f>Assumptions!$H$16</f>
        <v/>
      </c>
      <c r="G18" s="79">
        <f>Assumptions!$H$16</f>
        <v/>
      </c>
      <c r="H18" s="79">
        <f>Assumptions!$H$16</f>
        <v/>
      </c>
      <c r="J18" s="55" t="inlineStr">
        <is>
          <t>Long-term deposits</t>
        </is>
      </c>
      <c r="K18" s="83">
        <f>Q1_Actuals!D27</f>
        <v/>
      </c>
      <c r="L18" s="31" t="inlineStr">
        <is>
          <t>Actual at 31-Mar-2026</t>
        </is>
      </c>
      <c r="M18" s="31" t="inlineStr">
        <is>
          <t>Held-to-maturity investments</t>
        </is>
      </c>
    </row>
    <row r="19" ht="27" customHeight="1">
      <c r="B19" s="71" t="inlineStr">
        <is>
          <t>Capex (cash outflow)</t>
        </is>
      </c>
      <c r="C19" s="81" t="inlineStr">
        <is>
          <t>N/A</t>
        </is>
      </c>
      <c r="D19" s="81">
        <f>D8*D18</f>
        <v/>
      </c>
      <c r="E19" s="81">
        <f>E8*E18</f>
        <v/>
      </c>
      <c r="F19" s="81">
        <f>F8*F18</f>
        <v/>
      </c>
      <c r="G19" s="81">
        <f>G8*G18</f>
        <v/>
      </c>
      <c r="H19" s="81">
        <f>H8*H18</f>
        <v/>
      </c>
      <c r="J19" s="53" t="inlineStr">
        <is>
          <t>Lease liabilities</t>
        </is>
      </c>
      <c r="K19" s="82">
        <f>Assumptions!$H$21</f>
        <v/>
      </c>
      <c r="L19" s="28" t="inlineStr">
        <is>
          <t>Illustrative placeholder</t>
        </is>
      </c>
      <c r="M19" s="28" t="inlineStr">
        <is>
          <t>Replace when lease convention is verified</t>
        </is>
      </c>
    </row>
    <row r="20" ht="27" customHeight="1">
      <c r="B20" s="71" t="inlineStr">
        <is>
          <t>Change in NWC (cash outflow)</t>
        </is>
      </c>
      <c r="C20" s="78" t="inlineStr">
        <is>
          <t>N/A</t>
        </is>
      </c>
      <c r="D20" s="73">
        <f>MAX(0,D8-C8)*Assumptions!$H$17</f>
        <v/>
      </c>
      <c r="E20" s="73">
        <f>MAX(0,E8-D8)*Assumptions!$H$17</f>
        <v/>
      </c>
      <c r="F20" s="73">
        <f>MAX(0,F8-E8)*Assumptions!$H$17</f>
        <v/>
      </c>
      <c r="G20" s="73">
        <f>MAX(0,G8-F8)*Assumptions!$H$17</f>
        <v/>
      </c>
      <c r="H20" s="73">
        <f>MAX(0,H8-G8)*Assumptions!$H$17</f>
        <v/>
      </c>
      <c r="J20" s="55" t="inlineStr">
        <is>
          <t>Other claims</t>
        </is>
      </c>
      <c r="K20" s="83">
        <f>Assumptions!$H$22</f>
        <v/>
      </c>
      <c r="L20" s="31" t="inlineStr">
        <is>
          <t>Illustrative placeholder</t>
        </is>
      </c>
      <c r="M20" s="31" t="inlineStr">
        <is>
          <t>No unsupported claim inserted</t>
        </is>
      </c>
    </row>
    <row r="21" ht="27" customHeight="1">
      <c r="B21" s="77" t="inlineStr">
        <is>
          <t>FCFF</t>
        </is>
      </c>
      <c r="C21" s="81" t="inlineStr">
        <is>
          <t>N/A</t>
        </is>
      </c>
      <c r="D21" s="81">
        <f>D15+D17-D19-D20</f>
        <v/>
      </c>
      <c r="E21" s="81">
        <f>E15+E17-E19-E20</f>
        <v/>
      </c>
      <c r="F21" s="81">
        <f>F15+F17-F19-F20</f>
        <v/>
      </c>
      <c r="G21" s="81">
        <f>G15+G17-G19-G20</f>
        <v/>
      </c>
      <c r="H21" s="81">
        <f>H15+H17-H19-H20</f>
        <v/>
      </c>
      <c r="J21" s="53" t="inlineStr">
        <is>
          <t>EraBlue stake value</t>
        </is>
      </c>
      <c r="K21" s="82">
        <f>Assumptions!$H$20</f>
        <v/>
      </c>
      <c r="L21" s="28" t="inlineStr">
        <is>
          <t>Illustrative</t>
        </is>
      </c>
      <c r="M21" s="28" t="inlineStr">
        <is>
          <t>Added once; FCFF excludes JV earnings</t>
        </is>
      </c>
    </row>
    <row r="22" ht="27" customHeight="1">
      <c r="B22" s="71" t="inlineStr">
        <is>
          <t>Discount period</t>
        </is>
      </c>
      <c r="C22" s="84" t="inlineStr">
        <is>
          <t>N/A</t>
        </is>
      </c>
      <c r="D22" s="84" t="n">
        <v>0.5</v>
      </c>
      <c r="E22" s="84" t="n">
        <v>1.5</v>
      </c>
      <c r="F22" s="84" t="n">
        <v>2.5</v>
      </c>
      <c r="G22" s="84" t="n">
        <v>3.5</v>
      </c>
      <c r="H22" s="84" t="n">
        <v>4.5</v>
      </c>
      <c r="J22" s="55" t="inlineStr">
        <is>
          <t>Additional IPO proceeds</t>
        </is>
      </c>
      <c r="K22" s="83">
        <f>IPO_Bridge!D20</f>
        <v/>
      </c>
      <c r="L22" s="31" t="inlineStr">
        <is>
          <t>Control</t>
        </is>
      </c>
      <c r="M22" s="31" t="inlineStr">
        <is>
          <t>Must remain zero under post-IPO bridge policy</t>
        </is>
      </c>
    </row>
    <row r="23" ht="27" customHeight="1">
      <c r="B23" s="71" t="inlineStr">
        <is>
          <t>Discount factor</t>
        </is>
      </c>
      <c r="C23" s="57" t="inlineStr">
        <is>
          <t>N/A</t>
        </is>
      </c>
      <c r="D23" s="57">
        <f>1/(1+$K$6)^D22</f>
        <v/>
      </c>
      <c r="E23" s="57">
        <f>1/(1+$K$6)^E22</f>
        <v/>
      </c>
      <c r="F23" s="57">
        <f>1/(1+$K$6)^F22</f>
        <v/>
      </c>
      <c r="G23" s="57">
        <f>1/(1+$K$6)^G22</f>
        <v/>
      </c>
      <c r="H23" s="57">
        <f>1/(1+$K$6)^H22</f>
        <v/>
      </c>
      <c r="J23" s="53" t="inlineStr">
        <is>
          <t>DMX equity value</t>
        </is>
      </c>
      <c r="K23" s="48">
        <f>K12-K15+K16+K17+K18-K19-K20+K21+K22</f>
        <v/>
      </c>
      <c r="L23" s="28" t="inlineStr">
        <is>
          <t>Calculated</t>
        </is>
      </c>
      <c r="M23" s="28" t="inlineStr">
        <is>
          <t>EV-to-equity bridge</t>
        </is>
      </c>
    </row>
    <row r="24" ht="27" customHeight="1">
      <c r="B24" s="77" t="inlineStr">
        <is>
          <t>Present value of FCFF</t>
        </is>
      </c>
      <c r="C24" s="78" t="inlineStr">
        <is>
          <t>N/A</t>
        </is>
      </c>
      <c r="D24" s="78">
        <f>D21*D23</f>
        <v/>
      </c>
      <c r="E24" s="78">
        <f>E21*E23</f>
        <v/>
      </c>
      <c r="F24" s="78">
        <f>F21*F23</f>
        <v/>
      </c>
      <c r="G24" s="78">
        <f>G21*G23</f>
        <v/>
      </c>
      <c r="H24" s="78">
        <f>H21*H23</f>
        <v/>
      </c>
      <c r="J24" s="55" t="inlineStr">
        <is>
          <t>Post-IPO diluted shares</t>
        </is>
      </c>
      <c r="K24" s="85">
        <f>IPO_Bridge!D11</f>
        <v/>
      </c>
      <c r="L24" s="31" t="inlineStr">
        <is>
          <t>Actual</t>
        </is>
      </c>
      <c r="M24" s="31" t="inlineStr">
        <is>
          <t>Million shares</t>
        </is>
      </c>
    </row>
    <row r="25" ht="27" customHeight="1">
      <c r="J25" s="53" t="inlineStr">
        <is>
          <t>DCF value per share</t>
        </is>
      </c>
      <c r="K25" s="86">
        <f>K23*1000/K24</f>
        <v/>
      </c>
      <c r="L25" s="28" t="inlineStr">
        <is>
          <t>Illustrative</t>
        </is>
      </c>
      <c r="M25" s="28" t="inlineStr">
        <is>
          <t>VND/share; not a target price</t>
        </is>
      </c>
    </row>
    <row r="26" ht="27" customHeight="1">
      <c r="J26" s="55" t="inlineStr">
        <is>
          <t>IPO offer price anchor</t>
        </is>
      </c>
      <c r="K26" s="87">
        <f>IPO_Bridge!D5</f>
        <v/>
      </c>
      <c r="L26" s="31" t="inlineStr">
        <is>
          <t>Actual transaction anchor</t>
        </is>
      </c>
      <c r="M26" s="31" t="inlineStr">
        <is>
          <t>Not a current market price</t>
        </is>
      </c>
    </row>
    <row r="28" ht="27" customHeight="1">
      <c r="B28" s="42" t="inlineStr">
        <is>
          <t>Key limitation: an integrated three-statement DMX forecast is not claimed here because the public case set does not contain enough segment disclosures to forecast every balance-sheet line. This transparent FCFF build therefore uses explicit cash-flow drivers and the latest actual cash/debt bridge; assumptions are editable and separately labelled.</t>
        </is>
      </c>
      <c r="J28" s="88" t="inlineStr">
        <is>
          <t>Same-date market price / date</t>
        </is>
      </c>
      <c r="K28" s="89">
        <f>"N/A"</f>
        <v/>
      </c>
      <c r="L28" s="89" t="inlineStr">
        <is>
          <t>Unavailable</t>
        </is>
      </c>
      <c r="M28" s="89" t="inlineStr">
        <is>
          <t>No price/date supplied</t>
        </is>
      </c>
    </row>
    <row r="29" ht="27" customHeight="1">
      <c r="J29" s="88" t="inlineStr">
        <is>
          <t>Market conclusion</t>
        </is>
      </c>
      <c r="K29" s="89">
        <f>"UNAVAILABLE — model output only"</f>
        <v/>
      </c>
      <c r="L29" s="89" t="inlineStr">
        <is>
          <t>Publication guard</t>
        </is>
      </c>
      <c r="M29" s="89" t="inlineStr">
        <is>
          <t>No upside/downside or recommendation</t>
        </is>
      </c>
    </row>
    <row r="30"/>
  </sheetData>
  <mergeCells count="3">
    <mergeCell ref="A2:M2"/>
    <mergeCell ref="B28:H30"/>
    <mergeCell ref="A1:M1"/>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8.xml><?xml version="1.0" encoding="utf-8"?>
<worksheet xmlns="http://schemas.openxmlformats.org/spreadsheetml/2006/main">
  <sheetPr>
    <tabColor rgb="0000A6A6"/>
    <outlinePr summaryBelow="1" summaryRight="1"/>
    <pageSetUpPr fitToPage="1"/>
  </sheetPr>
  <dimension ref="A1:L29"/>
  <sheetViews>
    <sheetView showGridLines="0" zoomScale="85" workbookViewId="0">
      <pane ySplit="4" topLeftCell="A5" activePane="bottomLeft" state="frozen"/>
      <selection pane="bottomLeft" activeCell="A1" sqref="A1"/>
    </sheetView>
  </sheetViews>
  <sheetFormatPr baseColWidth="8" defaultRowHeight="15"/>
  <cols>
    <col width="24" customWidth="1" min="1" max="1"/>
    <col width="20" customWidth="1" min="2" max="2"/>
    <col width="21" customWidth="1" min="3" max="3"/>
    <col width="18" customWidth="1" min="4" max="4"/>
    <col width="18" customWidth="1" min="5" max="5"/>
    <col width="18" customWidth="1" min="6" max="6"/>
    <col width="19" customWidth="1" min="7" max="7"/>
    <col width="17" customWidth="1" min="8" max="8"/>
    <col width="20" customWidth="1" min="9" max="9"/>
    <col width="28" customWidth="1" min="10" max="10"/>
    <col width="28" customWidth="1" min="11" max="11"/>
    <col width="32" customWidth="1" min="12" max="12"/>
  </cols>
  <sheetData>
    <row r="1" ht="31" customHeight="1">
      <c r="A1" s="20" t="inlineStr">
        <is>
          <t>MWG illustrative equity-level SOTP</t>
        </is>
      </c>
    </row>
    <row r="2" ht="23" customHeight="1">
      <c r="A2" s="21" t="inlineStr">
        <is>
          <t>DMX includes EraBlue once. BHX, An Khang and AVAKids sit outside the DMX perimeter. Parent-only adjustments avoid debt double count.</t>
        </is>
      </c>
    </row>
    <row r="4" ht="30" customHeight="1">
      <c r="A4" s="14" t="inlineStr">
        <is>
          <t>Asset</t>
        </is>
      </c>
      <c r="B4" s="14" t="inlineStr">
        <is>
          <t>Method</t>
        </is>
      </c>
      <c r="C4" s="14" t="inlineStr">
        <is>
          <t>Metric</t>
        </is>
      </c>
      <c r="D4" s="14" t="inlineStr">
        <is>
          <t>Metric value</t>
        </is>
      </c>
      <c r="E4" s="14" t="inlineStr">
        <is>
          <t>Multiple / factor</t>
        </is>
      </c>
      <c r="F4" s="14" t="inlineStr">
        <is>
          <t>Net debt / claims</t>
        </is>
      </c>
      <c r="G4" s="14" t="inlineStr">
        <is>
          <t>Equity value 100%</t>
        </is>
      </c>
      <c r="H4" s="14" t="inlineStr">
        <is>
          <t>MWG ownership</t>
        </is>
      </c>
      <c r="I4" s="14" t="inlineStr">
        <is>
          <t>Attributable to MWG</t>
        </is>
      </c>
      <c r="J4" s="14" t="inlineStr">
        <is>
          <t>Source / model ref</t>
        </is>
      </c>
      <c r="K4" s="14" t="inlineStr">
        <is>
          <t>Double-count bucket</t>
        </is>
      </c>
      <c r="L4" s="14" t="inlineStr">
        <is>
          <t>Status / limitation</t>
        </is>
      </c>
    </row>
    <row r="5" ht="31" customHeight="1">
      <c r="A5" s="28" t="inlineStr">
        <is>
          <t>DMX</t>
        </is>
      </c>
      <c r="B5" s="28" t="inlineStr">
        <is>
          <t>FCFF DCF</t>
        </is>
      </c>
      <c r="C5" s="28" t="inlineStr">
        <is>
          <t>DMX equity value</t>
        </is>
      </c>
      <c r="D5" s="82">
        <f>DMX_Valuation!K23</f>
        <v/>
      </c>
      <c r="E5" s="90" t="n">
        <v>1</v>
      </c>
      <c r="F5" s="48" t="n">
        <v>0</v>
      </c>
      <c r="G5" s="48">
        <f>D5</f>
        <v/>
      </c>
      <c r="H5" s="76">
        <f>Assumptions!$H$23</f>
        <v/>
      </c>
      <c r="I5" s="48">
        <f>G5*H5</f>
        <v/>
      </c>
      <c r="J5" s="28" t="inlineStr">
        <is>
          <t>DMX_Valuation</t>
        </is>
      </c>
      <c r="K5" s="28" t="inlineStr">
        <is>
          <t>DMX_DCF_INCL_ERABLUE</t>
        </is>
      </c>
      <c r="L5" s="28" t="inlineStr">
        <is>
          <t>Illustrative; ownership is a rounded proxy</t>
        </is>
      </c>
    </row>
    <row r="6" ht="31" customHeight="1">
      <c r="A6" s="31" t="inlineStr">
        <is>
          <t>BHX</t>
        </is>
      </c>
      <c r="B6" s="31" t="inlineStr">
        <is>
          <t>EV / Sales</t>
        </is>
      </c>
      <c r="C6" s="31" t="inlineStr">
        <is>
          <t>Revenue</t>
        </is>
      </c>
      <c r="D6" s="83">
        <f>Assumptions!$H$24</f>
        <v/>
      </c>
      <c r="E6" s="91">
        <f>Assumptions!$H$25</f>
        <v/>
      </c>
      <c r="F6" s="83">
        <f>Assumptions!$H$26</f>
        <v/>
      </c>
      <c r="G6" s="46">
        <f>D6*E6-F6</f>
        <v/>
      </c>
      <c r="H6" s="74">
        <f>Assumptions!$H$27</f>
        <v/>
      </c>
      <c r="I6" s="46">
        <f>G6*H6</f>
        <v/>
      </c>
      <c r="J6" s="31" t="inlineStr">
        <is>
          <t>Assumptions</t>
        </is>
      </c>
      <c r="K6" s="31" t="inlineStr">
        <is>
          <t>BHX</t>
        </is>
      </c>
      <c r="L6" s="31" t="inlineStr">
        <is>
          <t>Illustrative; requires standalone peer/DCF work</t>
        </is>
      </c>
    </row>
    <row r="7" ht="31" customHeight="1">
      <c r="A7" s="28" t="inlineStr">
        <is>
          <t>An Khang</t>
        </is>
      </c>
      <c r="B7" s="28" t="inlineStr">
        <is>
          <t>EV / Sales</t>
        </is>
      </c>
      <c r="C7" s="28" t="inlineStr">
        <is>
          <t>Revenue</t>
        </is>
      </c>
      <c r="D7" s="82">
        <f>Assumptions!$H$28</f>
        <v/>
      </c>
      <c r="E7" s="92">
        <f>Assumptions!$H$29</f>
        <v/>
      </c>
      <c r="F7" s="82">
        <f>Assumptions!$H$30</f>
        <v/>
      </c>
      <c r="G7" s="48">
        <f>D7*E7-F7</f>
        <v/>
      </c>
      <c r="H7" s="76">
        <f>Assumptions!$H$31</f>
        <v/>
      </c>
      <c r="I7" s="48">
        <f>G7*H7</f>
        <v/>
      </c>
      <c r="J7" s="28" t="inlineStr">
        <is>
          <t>Assumptions</t>
        </is>
      </c>
      <c r="K7" s="28" t="inlineStr">
        <is>
          <t>AN_KHANG</t>
        </is>
      </c>
      <c r="L7" s="28" t="inlineStr">
        <is>
          <t>Illustrative; outside DMX LFL perimeter</t>
        </is>
      </c>
    </row>
    <row r="8" ht="31" customHeight="1">
      <c r="A8" s="31" t="inlineStr">
        <is>
          <t>AVAKids</t>
        </is>
      </c>
      <c r="B8" s="31" t="inlineStr">
        <is>
          <t>EV / Sales</t>
        </is>
      </c>
      <c r="C8" s="31" t="inlineStr">
        <is>
          <t>Revenue</t>
        </is>
      </c>
      <c r="D8" s="83">
        <f>Assumptions!$H$32</f>
        <v/>
      </c>
      <c r="E8" s="91">
        <f>Assumptions!$H$33</f>
        <v/>
      </c>
      <c r="F8" s="83">
        <f>Assumptions!$H$34</f>
        <v/>
      </c>
      <c r="G8" s="46">
        <f>D8*E8-F8</f>
        <v/>
      </c>
      <c r="H8" s="74">
        <f>Assumptions!$H$35</f>
        <v/>
      </c>
      <c r="I8" s="46">
        <f>G8*H8</f>
        <v/>
      </c>
      <c r="J8" s="31" t="inlineStr">
        <is>
          <t>Assumptions</t>
        </is>
      </c>
      <c r="K8" s="31" t="inlineStr">
        <is>
          <t>AVAKIDS</t>
        </is>
      </c>
      <c r="L8" s="31" t="inlineStr">
        <is>
          <t>Illustrative; outside DMX LFL perimeter</t>
        </is>
      </c>
    </row>
    <row r="9" ht="31" customHeight="1">
      <c r="A9" s="28" t="inlineStr">
        <is>
          <t>Other investments</t>
        </is>
      </c>
      <c r="B9" s="28" t="inlineStr">
        <is>
          <t>Equity value</t>
        </is>
      </c>
      <c r="C9" s="28" t="inlineStr">
        <is>
          <t>Fixed equity value</t>
        </is>
      </c>
      <c r="D9" s="82">
        <f>Assumptions!$H$36</f>
        <v/>
      </c>
      <c r="E9" s="90" t="n">
        <v>1</v>
      </c>
      <c r="F9" s="48" t="n">
        <v>0</v>
      </c>
      <c r="G9" s="48">
        <f>D9*E9-F9</f>
        <v/>
      </c>
      <c r="H9" s="50" t="n">
        <v>1</v>
      </c>
      <c r="I9" s="48">
        <f>G9*H9</f>
        <v/>
      </c>
      <c r="J9" s="28" t="inlineStr">
        <is>
          <t>Assumptions</t>
        </is>
      </c>
      <c r="K9" s="28" t="inlineStr">
        <is>
          <t>OTHER_INVESTMENTS</t>
        </is>
      </c>
      <c r="L9" s="28" t="inlineStr">
        <is>
          <t>Illustrative placeholder</t>
        </is>
      </c>
    </row>
    <row r="10" ht="31" customHeight="1">
      <c r="A10" s="31" t="inlineStr">
        <is>
          <t>Parent non-operating assets</t>
        </is>
      </c>
      <c r="B10" s="31" t="inlineStr">
        <is>
          <t>Equity value</t>
        </is>
      </c>
      <c r="C10" s="31" t="inlineStr">
        <is>
          <t>Fixed equity value</t>
        </is>
      </c>
      <c r="D10" s="83">
        <f>Assumptions!$H$37</f>
        <v/>
      </c>
      <c r="E10" s="93" t="n">
        <v>1</v>
      </c>
      <c r="F10" s="46" t="n">
        <v>0</v>
      </c>
      <c r="G10" s="46">
        <f>D10*E10-F10</f>
        <v/>
      </c>
      <c r="H10" s="94" t="n">
        <v>1</v>
      </c>
      <c r="I10" s="46">
        <f>G10*H10</f>
        <v/>
      </c>
      <c r="J10" s="31" t="inlineStr">
        <is>
          <t>Assumptions</t>
        </is>
      </c>
      <c r="K10" s="31" t="inlineStr">
        <is>
          <t>PARENT_NONOP_ASSETS</t>
        </is>
      </c>
      <c r="L10" s="31" t="inlineStr">
        <is>
          <t>Illustrative placeholder</t>
        </is>
      </c>
    </row>
    <row r="13" ht="21" customHeight="1">
      <c r="A13" s="5" t="inlineStr">
        <is>
          <t>MWG NAV BRIDGE — ILLUSTRATIVE</t>
        </is>
      </c>
      <c r="G13" s="95" t="inlineStr">
        <is>
          <t>Status</t>
        </is>
      </c>
      <c r="H13" s="95" t="inlineStr">
        <is>
          <t>Interpretation</t>
        </is>
      </c>
      <c r="I13" s="95" t="n"/>
      <c r="J13" s="95" t="n"/>
      <c r="K13" s="95" t="n"/>
      <c r="L13" s="95" t="n"/>
    </row>
    <row r="14" ht="28" customHeight="1">
      <c r="A14" s="55" t="inlineStr">
        <is>
          <t>Gross attributable asset value</t>
        </is>
      </c>
      <c r="B14" s="31" t="n"/>
      <c r="C14" s="46">
        <f>SUM(I5:I10)</f>
        <v/>
      </c>
      <c r="D14" s="31" t="inlineStr">
        <is>
          <t>VND bn</t>
        </is>
      </c>
      <c r="E14" s="31" t="n"/>
      <c r="F14" s="31" t="n"/>
      <c r="G14" s="31" t="inlineStr">
        <is>
          <t>Illustrative</t>
        </is>
      </c>
      <c r="H14" s="31" t="inlineStr">
        <is>
          <t>Sum of equity values attributable to MWG</t>
        </is>
      </c>
      <c r="I14" s="31" t="n"/>
      <c r="J14" s="31" t="n"/>
      <c r="K14" s="31" t="n"/>
      <c r="L14" s="31" t="n"/>
    </row>
    <row r="15" ht="28" customHeight="1">
      <c r="A15" s="53" t="inlineStr">
        <is>
          <t>Less: parent-only net debt</t>
        </is>
      </c>
      <c r="B15" s="28" t="n"/>
      <c r="C15" s="82">
        <f>Assumptions!$H$38</f>
        <v/>
      </c>
      <c r="D15" s="28" t="inlineStr">
        <is>
          <t>VND bn</t>
        </is>
      </c>
      <c r="E15" s="28" t="n"/>
      <c r="F15" s="28" t="n"/>
      <c r="G15" s="28" t="inlineStr">
        <is>
          <t>Illustrative</t>
        </is>
      </c>
      <c r="H15" s="28" t="inlineStr">
        <is>
          <t>Not consolidated net debt</t>
        </is>
      </c>
      <c r="I15" s="28" t="n"/>
      <c r="J15" s="28" t="n"/>
      <c r="K15" s="28" t="n"/>
      <c r="L15" s="28" t="n"/>
    </row>
    <row r="16" ht="28" customHeight="1">
      <c r="A16" s="55" t="inlineStr">
        <is>
          <t>Less: parent provisions / claims</t>
        </is>
      </c>
      <c r="B16" s="31" t="n"/>
      <c r="C16" s="83">
        <f>Assumptions!$H$39</f>
        <v/>
      </c>
      <c r="D16" s="31" t="inlineStr">
        <is>
          <t>VND bn</t>
        </is>
      </c>
      <c r="E16" s="31" t="n"/>
      <c r="F16" s="31" t="n"/>
      <c r="G16" s="31" t="inlineStr">
        <is>
          <t>Illustrative</t>
        </is>
      </c>
      <c r="H16" s="31" t="inlineStr">
        <is>
          <t>Separate parent claims</t>
        </is>
      </c>
      <c r="I16" s="31" t="n"/>
      <c r="J16" s="31" t="n"/>
      <c r="K16" s="31" t="n"/>
      <c r="L16" s="31" t="n"/>
    </row>
    <row r="17" ht="28" customHeight="1">
      <c r="A17" s="53" t="inlineStr">
        <is>
          <t>NAV before holdco discount</t>
        </is>
      </c>
      <c r="B17" s="28" t="n"/>
      <c r="C17" s="48">
        <f>C14-C15-C16</f>
        <v/>
      </c>
      <c r="D17" s="28" t="inlineStr">
        <is>
          <t>VND bn</t>
        </is>
      </c>
      <c r="E17" s="28" t="n"/>
      <c r="F17" s="28" t="n"/>
      <c r="G17" s="28" t="inlineStr">
        <is>
          <t>Illustrative</t>
        </is>
      </c>
      <c r="H17" s="28" t="inlineStr">
        <is>
          <t>Presented before applying discount</t>
        </is>
      </c>
      <c r="I17" s="28" t="n"/>
      <c r="J17" s="28" t="n"/>
      <c r="K17" s="28" t="n"/>
      <c r="L17" s="28" t="n"/>
    </row>
    <row r="18" ht="28" customHeight="1">
      <c r="A18" s="55" t="inlineStr">
        <is>
          <t>Holding-company discount</t>
        </is>
      </c>
      <c r="B18" s="31" t="n"/>
      <c r="C18" s="74">
        <f>Assumptions!$H$40</f>
        <v/>
      </c>
      <c r="D18" s="31" t="inlineStr">
        <is>
          <t>%</t>
        </is>
      </c>
      <c r="E18" s="31" t="n"/>
      <c r="F18" s="31" t="n"/>
      <c r="G18" s="31" t="inlineStr">
        <is>
          <t>Illustrative</t>
        </is>
      </c>
      <c r="H18" s="31" t="inlineStr">
        <is>
          <t>Sensitivity, not a target-price plug</t>
        </is>
      </c>
      <c r="I18" s="31" t="n"/>
      <c r="J18" s="31" t="n"/>
      <c r="K18" s="31" t="n"/>
      <c r="L18" s="31" t="n"/>
    </row>
    <row r="19" ht="28" customHeight="1">
      <c r="A19" s="53" t="inlineStr">
        <is>
          <t>NAV after holdco discount</t>
        </is>
      </c>
      <c r="B19" s="28" t="n"/>
      <c r="C19" s="48">
        <f>C17*(1-C18)</f>
        <v/>
      </c>
      <c r="D19" s="28" t="inlineStr">
        <is>
          <t>VND bn</t>
        </is>
      </c>
      <c r="E19" s="28" t="n"/>
      <c r="F19" s="28" t="n"/>
      <c r="G19" s="28" t="inlineStr">
        <is>
          <t>Illustrative</t>
        </is>
      </c>
      <c r="H19" s="28" t="inlineStr">
        <is>
          <t>Illustrative SOTP equity value</t>
        </is>
      </c>
      <c r="I19" s="28" t="n"/>
      <c r="J19" s="28" t="n"/>
      <c r="K19" s="28" t="n"/>
      <c r="L19" s="28" t="n"/>
    </row>
    <row r="20" ht="28" customHeight="1">
      <c r="A20" s="55" t="inlineStr">
        <is>
          <t>MWG diluted shares</t>
        </is>
      </c>
      <c r="B20" s="31" t="n"/>
      <c r="C20" s="85">
        <f>Assumptions!$H$41</f>
        <v/>
      </c>
      <c r="D20" s="31" t="inlineStr">
        <is>
          <t>mn shares</t>
        </is>
      </c>
      <c r="E20" s="31" t="n"/>
      <c r="F20" s="31" t="n"/>
      <c r="G20" s="31" t="inlineStr">
        <is>
          <t>Illustrative</t>
        </is>
      </c>
      <c r="H20" s="31" t="inlineStr">
        <is>
          <t>Unverified placeholder at this stage</t>
        </is>
      </c>
      <c r="I20" s="31" t="n"/>
      <c r="J20" s="31" t="n"/>
      <c r="K20" s="31" t="n"/>
      <c r="L20" s="31" t="n"/>
    </row>
    <row r="21" ht="28" customHeight="1">
      <c r="A21" s="53" t="inlineStr">
        <is>
          <t>Illustrative SOTP value / share</t>
        </is>
      </c>
      <c r="B21" s="28" t="n"/>
      <c r="C21" s="86">
        <f>C19*1000/C20</f>
        <v/>
      </c>
      <c r="D21" s="28" t="inlineStr">
        <is>
          <t>VND/share</t>
        </is>
      </c>
      <c r="E21" s="28" t="n"/>
      <c r="F21" s="28" t="n"/>
      <c r="G21" s="28" t="inlineStr">
        <is>
          <t>Illustrative</t>
        </is>
      </c>
      <c r="H21" s="28" t="inlineStr">
        <is>
          <t>Not a target price</t>
        </is>
      </c>
      <c r="I21" s="28" t="n"/>
      <c r="J21" s="28" t="n"/>
      <c r="K21" s="28" t="n"/>
      <c r="L21" s="28" t="n"/>
    </row>
    <row r="23" ht="28" customHeight="1">
      <c r="A23" s="88" t="inlineStr">
        <is>
          <t>Same-date MWG price / date</t>
        </is>
      </c>
      <c r="B23" s="89" t="n"/>
      <c r="C23" s="96">
        <f>"N/A"</f>
        <v/>
      </c>
      <c r="D23" s="89" t="inlineStr">
        <is>
          <t>N/A</t>
        </is>
      </c>
      <c r="E23" s="89" t="n"/>
      <c r="F23" s="89" t="n"/>
      <c r="G23" s="89" t="inlineStr">
        <is>
          <t>Publication guard</t>
        </is>
      </c>
      <c r="H23" s="89" t="inlineStr">
        <is>
          <t>Market data gate not met</t>
        </is>
      </c>
      <c r="I23" s="89" t="n"/>
      <c r="J23" s="89" t="n"/>
      <c r="K23" s="89" t="n"/>
      <c r="L23" s="89" t="n"/>
    </row>
    <row r="24" ht="28" customHeight="1">
      <c r="A24" s="88" t="inlineStr">
        <is>
          <t>Upside/downside or recommendation</t>
        </is>
      </c>
      <c r="B24" s="89" t="n"/>
      <c r="C24" s="96">
        <f>"UNAVAILABLE"</f>
        <v/>
      </c>
      <c r="D24" s="89" t="inlineStr">
        <is>
          <t>N/A</t>
        </is>
      </c>
      <c r="E24" s="89" t="n"/>
      <c r="F24" s="89" t="n"/>
      <c r="G24" s="89" t="inlineStr">
        <is>
          <t>Publication guard</t>
        </is>
      </c>
      <c r="H24" s="89" t="inlineStr">
        <is>
          <t>No market conclusion without verified price/date</t>
        </is>
      </c>
      <c r="I24" s="89" t="n"/>
      <c r="J24" s="89" t="n"/>
      <c r="K24" s="89" t="n"/>
      <c r="L24" s="89" t="n"/>
    </row>
    <row r="27">
      <c r="A27" s="97" t="inlineStr">
        <is>
          <t>Perimeter control — EraBlue appears only within the DMX DCF equity bridge. It is not added as a separate MWG SOTP row. BHX, An Khang and AVAKids are separately valued outside DMX. Parent-only net debt is used because subsidiary values are already equity values; consolidated MWG net debt would double count subsidiary financing.</t>
        </is>
      </c>
    </row>
    <row r="28"/>
    <row r="29"/>
  </sheetData>
  <mergeCells count="25">
    <mergeCell ref="A24:B24"/>
    <mergeCell ref="A15:B15"/>
    <mergeCell ref="H20:L20"/>
    <mergeCell ref="A2:L2"/>
    <mergeCell ref="A16:B16"/>
    <mergeCell ref="H21:L21"/>
    <mergeCell ref="A27:L29"/>
    <mergeCell ref="A18:B18"/>
    <mergeCell ref="H17:L17"/>
    <mergeCell ref="A21:B21"/>
    <mergeCell ref="A13:F13"/>
    <mergeCell ref="H16:L16"/>
    <mergeCell ref="A14:B14"/>
    <mergeCell ref="A17:B17"/>
    <mergeCell ref="H13:L13"/>
    <mergeCell ref="H19:L19"/>
    <mergeCell ref="A23:B23"/>
    <mergeCell ref="A20:B20"/>
    <mergeCell ref="H15:L15"/>
    <mergeCell ref="A19:B19"/>
    <mergeCell ref="A1:L1"/>
    <mergeCell ref="H24:L24"/>
    <mergeCell ref="H18:L18"/>
    <mergeCell ref="H14:L14"/>
    <mergeCell ref="H23:L23"/>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9.xml><?xml version="1.0" encoding="utf-8"?>
<worksheet xmlns="http://schemas.openxmlformats.org/spreadsheetml/2006/main">
  <sheetPr>
    <tabColor rgb="0000A6A6"/>
    <outlinePr summaryBelow="1" summaryRight="1"/>
    <pageSetUpPr fitToPage="1"/>
  </sheetPr>
  <dimension ref="A1:R50"/>
  <sheetViews>
    <sheetView showGridLines="0" zoomScale="75" workbookViewId="0">
      <pane xSplit="1" ySplit="4" topLeftCell="B5" activePane="bottomRight" state="frozen"/>
      <selection pane="topRight"/>
      <selection pane="bottomLeft"/>
      <selection pane="bottomRight" activeCell="A1" sqref="A1"/>
    </sheetView>
  </sheetViews>
  <sheetFormatPr baseColWidth="8" defaultRowHeight="15"/>
  <cols>
    <col width="3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31" customHeight="1">
      <c r="A1" s="20" t="inlineStr">
        <is>
          <t>Scenario engine &amp; valuation sensitivities</t>
        </is>
      </c>
    </row>
    <row r="2" ht="23" customHeight="1">
      <c r="A2" s="21" t="inlineStr">
        <is>
          <t>Bear/Base/Bull calculations run independently from the active scenario switch. Outputs are illustrative ranges, not target prices.</t>
        </is>
      </c>
    </row>
    <row r="4" ht="30" customHeight="1">
      <c r="A4" s="14" t="inlineStr">
        <is>
          <t>Metric</t>
        </is>
      </c>
      <c r="B4" s="14" t="inlineStr">
        <is>
          <t>Bear</t>
        </is>
      </c>
      <c r="C4" s="14" t="inlineStr">
        <is>
          <t>Base</t>
        </is>
      </c>
      <c r="D4" s="14" t="inlineStr">
        <is>
          <t>Bull</t>
        </is>
      </c>
      <c r="E4" s="14" t="inlineStr">
        <is>
          <t>Status / interpretation</t>
        </is>
      </c>
    </row>
    <row r="5">
      <c r="A5" s="6" t="inlineStr">
        <is>
          <t>WACC</t>
        </is>
      </c>
      <c r="B5" s="98">
        <f>Assumptions!$E$18</f>
        <v/>
      </c>
      <c r="C5" s="98">
        <f>Assumptions!$F$18</f>
        <v/>
      </c>
      <c r="D5" s="98">
        <f>Assumptions!$G$18</f>
        <v/>
      </c>
      <c r="E5" s="99" t="inlineStr">
        <is>
          <t>Illustrative range — no market recommendation</t>
        </is>
      </c>
    </row>
    <row r="6">
      <c r="A6" s="6" t="inlineStr">
        <is>
          <t>Terminal growth</t>
        </is>
      </c>
      <c r="B6" s="100">
        <f>Assumptions!$E$19</f>
        <v/>
      </c>
      <c r="C6" s="100">
        <f>Assumptions!$F$19</f>
        <v/>
      </c>
      <c r="D6" s="100">
        <f>Assumptions!$G$19</f>
        <v/>
      </c>
      <c r="E6" s="99" t="inlineStr">
        <is>
          <t>Illustrative range — no market recommendation</t>
        </is>
      </c>
    </row>
    <row r="7">
      <c r="A7" s="6" t="inlineStr">
        <is>
          <t>Revenue growth adjustment</t>
        </is>
      </c>
      <c r="B7" s="98">
        <f>Assumptions!$E$11</f>
        <v/>
      </c>
      <c r="C7" s="98">
        <f>Assumptions!$F$11</f>
        <v/>
      </c>
      <c r="D7" s="98">
        <f>Assumptions!$G$11</f>
        <v/>
      </c>
      <c r="E7" s="99" t="inlineStr">
        <is>
          <t>Illustrative range — no market recommendation</t>
        </is>
      </c>
    </row>
    <row r="8">
      <c r="A8" s="6" t="inlineStr">
        <is>
          <t>2030E model revenue</t>
        </is>
      </c>
      <c r="B8" s="101">
        <f>F22</f>
        <v/>
      </c>
      <c r="C8" s="101">
        <f>L22</f>
        <v/>
      </c>
      <c r="D8" s="101">
        <f>R22</f>
        <v/>
      </c>
      <c r="E8" s="99" t="inlineStr">
        <is>
          <t>Illustrative range — no market recommendation</t>
        </is>
      </c>
    </row>
    <row r="9">
      <c r="A9" s="6" t="inlineStr">
        <is>
          <t>2030E EBIT margin</t>
        </is>
      </c>
      <c r="B9" s="102">
        <f>F23</f>
        <v/>
      </c>
      <c r="C9" s="102">
        <f>L23</f>
        <v/>
      </c>
      <c r="D9" s="102">
        <f>R23</f>
        <v/>
      </c>
      <c r="E9" s="99" t="inlineStr">
        <is>
          <t>Illustrative range — no market recommendation</t>
        </is>
      </c>
    </row>
    <row r="10">
      <c r="A10" s="6" t="inlineStr">
        <is>
          <t>2030E FCFF</t>
        </is>
      </c>
      <c r="B10" s="101">
        <f>F29</f>
        <v/>
      </c>
      <c r="C10" s="101">
        <f>L29</f>
        <v/>
      </c>
      <c r="D10" s="101">
        <f>R29</f>
        <v/>
      </c>
      <c r="E10" s="99" t="inlineStr">
        <is>
          <t>Illustrative range — no market recommendation</t>
        </is>
      </c>
    </row>
    <row r="11">
      <c r="A11" s="6" t="inlineStr">
        <is>
          <t>DMX enterprise value</t>
        </is>
      </c>
      <c r="B11" s="103">
        <f>F37</f>
        <v/>
      </c>
      <c r="C11" s="103">
        <f>L37</f>
        <v/>
      </c>
      <c r="D11" s="103">
        <f>R37</f>
        <v/>
      </c>
      <c r="E11" s="99" t="inlineStr">
        <is>
          <t>Illustrative range — no market recommendation</t>
        </is>
      </c>
    </row>
    <row r="12">
      <c r="A12" s="6" t="inlineStr">
        <is>
          <t>DMX equity value</t>
        </is>
      </c>
      <c r="B12" s="101">
        <f>F38</f>
        <v/>
      </c>
      <c r="C12" s="101">
        <f>L38</f>
        <v/>
      </c>
      <c r="D12" s="101">
        <f>R38</f>
        <v/>
      </c>
      <c r="E12" s="99" t="inlineStr">
        <is>
          <t>Illustrative range — no market recommendation</t>
        </is>
      </c>
    </row>
    <row r="13">
      <c r="A13" s="6" t="inlineStr">
        <is>
          <t>DMX DCF value / share</t>
        </is>
      </c>
      <c r="B13" s="104">
        <f>F39</f>
        <v/>
      </c>
      <c r="C13" s="104">
        <f>L39</f>
        <v/>
      </c>
      <c r="D13" s="104">
        <f>R39</f>
        <v/>
      </c>
      <c r="E13" s="99" t="inlineStr">
        <is>
          <t>Illustrative range — no market recommendation</t>
        </is>
      </c>
    </row>
    <row r="14">
      <c r="A14" s="6" t="inlineStr">
        <is>
          <t>MWG illustrative SOTP / share</t>
        </is>
      </c>
      <c r="B14" s="105">
        <f>((F38*Assumptions!$E$23)+((Assumptions!$E$24*Assumptions!$E$25-Assumptions!$E$26)*Assumptions!$E$27)+((Assumptions!$E$28*Assumptions!$E$29-Assumptions!$E$30)*Assumptions!$E$31)+((Assumptions!$E$32*Assumptions!$E$33-Assumptions!$E$34)*Assumptions!$E$35)+Assumptions!$E$36+Assumptions!$E$37-Assumptions!$E$38-Assumptions!$E$39)*(1-Assumptions!$E$40)*1000/Assumptions!$E$41</f>
        <v/>
      </c>
      <c r="C14" s="105">
        <f>((L38*Assumptions!$F$23)+((Assumptions!$F$24*Assumptions!$F$25-Assumptions!$F$26)*Assumptions!$F$27)+((Assumptions!$F$28*Assumptions!$F$29-Assumptions!$F$30)*Assumptions!$F$31)+((Assumptions!$F$32*Assumptions!$F$33-Assumptions!$F$34)*Assumptions!$F$35)+Assumptions!$F$36+Assumptions!$F$37-Assumptions!$F$38-Assumptions!$F$39)*(1-Assumptions!$F$40)*1000/Assumptions!$F$41</f>
        <v/>
      </c>
      <c r="D14" s="105">
        <f>((R38*Assumptions!$G$23)+((Assumptions!$G$24*Assumptions!$G$25-Assumptions!$G$26)*Assumptions!$G$27)+((Assumptions!$G$28*Assumptions!$G$29-Assumptions!$G$30)*Assumptions!$G$31)+((Assumptions!$G$32*Assumptions!$G$33-Assumptions!$G$34)*Assumptions!$G$35)+Assumptions!$G$36+Assumptions!$G$37-Assumptions!$G$38-Assumptions!$G$39)*(1-Assumptions!$G$40)*1000/Assumptions!$G$41</f>
        <v/>
      </c>
      <c r="E14" s="99" t="inlineStr">
        <is>
          <t>Illustrative range — no market recommendation</t>
        </is>
      </c>
    </row>
    <row r="15">
      <c r="A15" s="6" t="inlineStr">
        <is>
          <t>Holdco discount</t>
        </is>
      </c>
      <c r="B15" s="98">
        <f>Assumptions!$E$40</f>
        <v/>
      </c>
      <c r="C15" s="98">
        <f>Assumptions!$F$40</f>
        <v/>
      </c>
      <c r="D15" s="98">
        <f>Assumptions!$G$40</f>
        <v/>
      </c>
      <c r="E15" s="99" t="inlineStr">
        <is>
          <t>Illustrative range — no market recommendation</t>
        </is>
      </c>
    </row>
    <row r="20">
      <c r="B20" s="106" t="inlineStr">
        <is>
          <t>BEAR — independent FCFF DCF</t>
        </is>
      </c>
      <c r="H20" s="106" t="inlineStr">
        <is>
          <t>BASE — independent FCFF DCF</t>
        </is>
      </c>
      <c r="N20" s="106" t="inlineStr">
        <is>
          <t>BULL — independent FCFF DCF</t>
        </is>
      </c>
    </row>
    <row r="21">
      <c r="B21" t="inlineStr">
        <is>
          <t>2026E</t>
        </is>
      </c>
      <c r="C21" t="inlineStr">
        <is>
          <t>2027E</t>
        </is>
      </c>
      <c r="D21" t="inlineStr">
        <is>
          <t>2028E</t>
        </is>
      </c>
      <c r="E21" t="inlineStr">
        <is>
          <t>2029E</t>
        </is>
      </c>
      <c r="F21" t="inlineStr">
        <is>
          <t>2030E</t>
        </is>
      </c>
      <c r="H21" t="inlineStr">
        <is>
          <t>2026E</t>
        </is>
      </c>
      <c r="I21" t="inlineStr">
        <is>
          <t>2027E</t>
        </is>
      </c>
      <c r="J21" t="inlineStr">
        <is>
          <t>2028E</t>
        </is>
      </c>
      <c r="K21" t="inlineStr">
        <is>
          <t>2029E</t>
        </is>
      </c>
      <c r="L21" t="inlineStr">
        <is>
          <t>2030E</t>
        </is>
      </c>
      <c r="N21" t="inlineStr">
        <is>
          <t>2026E</t>
        </is>
      </c>
      <c r="O21" t="inlineStr">
        <is>
          <t>2027E</t>
        </is>
      </c>
      <c r="P21" t="inlineStr">
        <is>
          <t>2028E</t>
        </is>
      </c>
      <c r="Q21" t="inlineStr">
        <is>
          <t>2029E</t>
        </is>
      </c>
      <c r="R21" t="inlineStr">
        <is>
          <t>2030E</t>
        </is>
      </c>
    </row>
    <row r="22">
      <c r="A22" s="107" t="inlineStr">
        <is>
          <t>Revenue</t>
        </is>
      </c>
      <c r="B22" s="108">
        <f>Mgmt_Forecast!C6*(1+Mgmt_Forecast!D7+Assumptions!$E$11)</f>
        <v/>
      </c>
      <c r="C22" s="108">
        <f>B22*(1+Mgmt_Forecast!E7+Assumptions!$E$11)</f>
        <v/>
      </c>
      <c r="D22" s="108">
        <f>C22*(1+Mgmt_Forecast!F7+Assumptions!$E$11)</f>
        <v/>
      </c>
      <c r="E22" s="108">
        <f>D22*(1+Mgmt_Forecast!G7+Assumptions!$E$11)</f>
        <v/>
      </c>
      <c r="F22" s="108">
        <f>E22*(1+Mgmt_Forecast!H7+Assumptions!$E$11)</f>
        <v/>
      </c>
      <c r="H22" s="108">
        <f>Mgmt_Forecast!C6*(1+Mgmt_Forecast!D7+Assumptions!$F$11)</f>
        <v/>
      </c>
      <c r="I22" s="108">
        <f>H22*(1+Mgmt_Forecast!E7+Assumptions!$F$11)</f>
        <v/>
      </c>
      <c r="J22" s="108">
        <f>I22*(1+Mgmt_Forecast!F7+Assumptions!$F$11)</f>
        <v/>
      </c>
      <c r="K22" s="108">
        <f>J22*(1+Mgmt_Forecast!G7+Assumptions!$F$11)</f>
        <v/>
      </c>
      <c r="L22" s="108">
        <f>K22*(1+Mgmt_Forecast!H7+Assumptions!$F$11)</f>
        <v/>
      </c>
      <c r="N22" s="108">
        <f>Mgmt_Forecast!C6*(1+Mgmt_Forecast!D7+Assumptions!$G$11)</f>
        <v/>
      </c>
      <c r="O22" s="108">
        <f>N22*(1+Mgmt_Forecast!E7+Assumptions!$G$11)</f>
        <v/>
      </c>
      <c r="P22" s="108">
        <f>O22*(1+Mgmt_Forecast!F7+Assumptions!$G$11)</f>
        <v/>
      </c>
      <c r="Q22" s="108">
        <f>P22*(1+Mgmt_Forecast!G7+Assumptions!$G$11)</f>
        <v/>
      </c>
      <c r="R22" s="108">
        <f>Q22*(1+Mgmt_Forecast!H7+Assumptions!$G$11)</f>
        <v/>
      </c>
    </row>
    <row r="23">
      <c r="A23" s="107" t="inlineStr">
        <is>
          <t>EBIT margin</t>
        </is>
      </c>
      <c r="B23" s="109">
        <f>Assumptions!$E$12</f>
        <v/>
      </c>
      <c r="C23" s="109">
        <f>B23+Assumptions!$E$13</f>
        <v/>
      </c>
      <c r="D23" s="109">
        <f>C23+Assumptions!$E$13</f>
        <v/>
      </c>
      <c r="E23" s="109">
        <f>D23+Assumptions!$E$13</f>
        <v/>
      </c>
      <c r="F23" s="109">
        <f>E23+Assumptions!$E$13</f>
        <v/>
      </c>
      <c r="H23" s="109">
        <f>Assumptions!$F$12</f>
        <v/>
      </c>
      <c r="I23" s="109">
        <f>H23+Assumptions!$F$13</f>
        <v/>
      </c>
      <c r="J23" s="109">
        <f>I23+Assumptions!$F$13</f>
        <v/>
      </c>
      <c r="K23" s="109">
        <f>J23+Assumptions!$F$13</f>
        <v/>
      </c>
      <c r="L23" s="109">
        <f>K23+Assumptions!$F$13</f>
        <v/>
      </c>
      <c r="N23" s="109">
        <f>Assumptions!$G$12</f>
        <v/>
      </c>
      <c r="O23" s="109">
        <f>N23+Assumptions!$G$13</f>
        <v/>
      </c>
      <c r="P23" s="109">
        <f>O23+Assumptions!$G$13</f>
        <v/>
      </c>
      <c r="Q23" s="109">
        <f>P23+Assumptions!$G$13</f>
        <v/>
      </c>
      <c r="R23" s="109">
        <f>Q23+Assumptions!$G$13</f>
        <v/>
      </c>
    </row>
    <row r="24">
      <c r="A24" s="107" t="inlineStr">
        <is>
          <t>EBIT</t>
        </is>
      </c>
      <c r="B24" s="110">
        <f>B22*B23</f>
        <v/>
      </c>
      <c r="C24" s="110">
        <f>C22*C23</f>
        <v/>
      </c>
      <c r="D24" s="110">
        <f>D22*D23</f>
        <v/>
      </c>
      <c r="E24" s="110">
        <f>E22*E23</f>
        <v/>
      </c>
      <c r="F24" s="110">
        <f>F22*F23</f>
        <v/>
      </c>
      <c r="H24" s="110">
        <f>H22*H23</f>
        <v/>
      </c>
      <c r="I24" s="110">
        <f>I22*I23</f>
        <v/>
      </c>
      <c r="J24" s="110">
        <f>J22*J23</f>
        <v/>
      </c>
      <c r="K24" s="110">
        <f>K22*K23</f>
        <v/>
      </c>
      <c r="L24" s="110">
        <f>L22*L23</f>
        <v/>
      </c>
      <c r="N24" s="110">
        <f>N22*N23</f>
        <v/>
      </c>
      <c r="O24" s="110">
        <f>O22*O23</f>
        <v/>
      </c>
      <c r="P24" s="110">
        <f>P22*P23</f>
        <v/>
      </c>
      <c r="Q24" s="110">
        <f>Q22*Q23</f>
        <v/>
      </c>
      <c r="R24" s="110">
        <f>R22*R23</f>
        <v/>
      </c>
    </row>
    <row r="25">
      <c r="A25" s="107" t="inlineStr">
        <is>
          <t>NOPAT</t>
        </is>
      </c>
      <c r="B25" s="111">
        <f>B24*(1-Assumptions!$E$14)</f>
        <v/>
      </c>
      <c r="C25" s="111">
        <f>C24*(1-Assumptions!$E$14)</f>
        <v/>
      </c>
      <c r="D25" s="111">
        <f>D24*(1-Assumptions!$E$14)</f>
        <v/>
      </c>
      <c r="E25" s="111">
        <f>E24*(1-Assumptions!$E$14)</f>
        <v/>
      </c>
      <c r="F25" s="111">
        <f>F24*(1-Assumptions!$E$14)</f>
        <v/>
      </c>
      <c r="H25" s="111">
        <f>H24*(1-Assumptions!$F$14)</f>
        <v/>
      </c>
      <c r="I25" s="111">
        <f>I24*(1-Assumptions!$F$14)</f>
        <v/>
      </c>
      <c r="J25" s="111">
        <f>J24*(1-Assumptions!$F$14)</f>
        <v/>
      </c>
      <c r="K25" s="111">
        <f>K24*(1-Assumptions!$F$14)</f>
        <v/>
      </c>
      <c r="L25" s="111">
        <f>L24*(1-Assumptions!$F$14)</f>
        <v/>
      </c>
      <c r="N25" s="111">
        <f>N24*(1-Assumptions!$G$14)</f>
        <v/>
      </c>
      <c r="O25" s="111">
        <f>O24*(1-Assumptions!$G$14)</f>
        <v/>
      </c>
      <c r="P25" s="111">
        <f>P24*(1-Assumptions!$G$14)</f>
        <v/>
      </c>
      <c r="Q25" s="111">
        <f>Q24*(1-Assumptions!$G$14)</f>
        <v/>
      </c>
      <c r="R25" s="111">
        <f>R24*(1-Assumptions!$G$14)</f>
        <v/>
      </c>
    </row>
    <row r="26">
      <c r="A26" s="107" t="inlineStr">
        <is>
          <t>D&amp;A</t>
        </is>
      </c>
      <c r="B26" s="108">
        <f>B22*Assumptions!$E$15</f>
        <v/>
      </c>
      <c r="C26" s="108">
        <f>C22*Assumptions!$E$15</f>
        <v/>
      </c>
      <c r="D26" s="108">
        <f>D22*Assumptions!$E$15</f>
        <v/>
      </c>
      <c r="E26" s="108">
        <f>E22*Assumptions!$E$15</f>
        <v/>
      </c>
      <c r="F26" s="108">
        <f>F22*Assumptions!$E$15</f>
        <v/>
      </c>
      <c r="H26" s="108">
        <f>H22*Assumptions!$F$15</f>
        <v/>
      </c>
      <c r="I26" s="108">
        <f>I22*Assumptions!$F$15</f>
        <v/>
      </c>
      <c r="J26" s="108">
        <f>J22*Assumptions!$F$15</f>
        <v/>
      </c>
      <c r="K26" s="108">
        <f>K22*Assumptions!$F$15</f>
        <v/>
      </c>
      <c r="L26" s="108">
        <f>L22*Assumptions!$F$15</f>
        <v/>
      </c>
      <c r="N26" s="108">
        <f>N22*Assumptions!$G$15</f>
        <v/>
      </c>
      <c r="O26" s="108">
        <f>O22*Assumptions!$G$15</f>
        <v/>
      </c>
      <c r="P26" s="108">
        <f>P22*Assumptions!$G$15</f>
        <v/>
      </c>
      <c r="Q26" s="108">
        <f>Q22*Assumptions!$G$15</f>
        <v/>
      </c>
      <c r="R26" s="108">
        <f>R22*Assumptions!$G$15</f>
        <v/>
      </c>
    </row>
    <row r="27">
      <c r="A27" s="107" t="inlineStr">
        <is>
          <t>Capex</t>
        </is>
      </c>
      <c r="B27" s="111">
        <f>B22*Assumptions!$E$16</f>
        <v/>
      </c>
      <c r="C27" s="111">
        <f>C22*Assumptions!$E$16</f>
        <v/>
      </c>
      <c r="D27" s="111">
        <f>D22*Assumptions!$E$16</f>
        <v/>
      </c>
      <c r="E27" s="111">
        <f>E22*Assumptions!$E$16</f>
        <v/>
      </c>
      <c r="F27" s="111">
        <f>F22*Assumptions!$E$16</f>
        <v/>
      </c>
      <c r="H27" s="111">
        <f>H22*Assumptions!$F$16</f>
        <v/>
      </c>
      <c r="I27" s="111">
        <f>I22*Assumptions!$F$16</f>
        <v/>
      </c>
      <c r="J27" s="111">
        <f>J22*Assumptions!$F$16</f>
        <v/>
      </c>
      <c r="K27" s="111">
        <f>K22*Assumptions!$F$16</f>
        <v/>
      </c>
      <c r="L27" s="111">
        <f>L22*Assumptions!$F$16</f>
        <v/>
      </c>
      <c r="N27" s="111">
        <f>N22*Assumptions!$G$16</f>
        <v/>
      </c>
      <c r="O27" s="111">
        <f>O22*Assumptions!$G$16</f>
        <v/>
      </c>
      <c r="P27" s="111">
        <f>P22*Assumptions!$G$16</f>
        <v/>
      </c>
      <c r="Q27" s="111">
        <f>Q22*Assumptions!$G$16</f>
        <v/>
      </c>
      <c r="R27" s="111">
        <f>R22*Assumptions!$G$16</f>
        <v/>
      </c>
    </row>
    <row r="28">
      <c r="A28" s="107" t="inlineStr">
        <is>
          <t>ΔNWC</t>
        </is>
      </c>
      <c r="B28" s="108">
        <f>MAX(0,B22-Mgmt_Forecast!C6)*Assumptions!$E$17</f>
        <v/>
      </c>
      <c r="C28" s="108">
        <f>MAX(0,C22-B22)*Assumptions!$E$17</f>
        <v/>
      </c>
      <c r="D28" s="108">
        <f>MAX(0,D22-C22)*Assumptions!$E$17</f>
        <v/>
      </c>
      <c r="E28" s="108">
        <f>MAX(0,E22-D22)*Assumptions!$E$17</f>
        <v/>
      </c>
      <c r="F28" s="108">
        <f>MAX(0,F22-E22)*Assumptions!$E$17</f>
        <v/>
      </c>
      <c r="H28" s="108">
        <f>MAX(0,H22-Mgmt_Forecast!C6)*Assumptions!$F$17</f>
        <v/>
      </c>
      <c r="I28" s="108">
        <f>MAX(0,I22-H22)*Assumptions!$F$17</f>
        <v/>
      </c>
      <c r="J28" s="108">
        <f>MAX(0,J22-I22)*Assumptions!$F$17</f>
        <v/>
      </c>
      <c r="K28" s="108">
        <f>MAX(0,K22-J22)*Assumptions!$F$17</f>
        <v/>
      </c>
      <c r="L28" s="108">
        <f>MAX(0,L22-K22)*Assumptions!$F$17</f>
        <v/>
      </c>
      <c r="N28" s="108">
        <f>MAX(0,N22-Mgmt_Forecast!C6)*Assumptions!$G$17</f>
        <v/>
      </c>
      <c r="O28" s="108">
        <f>MAX(0,O22-N22)*Assumptions!$G$17</f>
        <v/>
      </c>
      <c r="P28" s="108">
        <f>MAX(0,P22-O22)*Assumptions!$G$17</f>
        <v/>
      </c>
      <c r="Q28" s="108">
        <f>MAX(0,Q22-P22)*Assumptions!$G$17</f>
        <v/>
      </c>
      <c r="R28" s="108">
        <f>MAX(0,R22-Q22)*Assumptions!$G$17</f>
        <v/>
      </c>
    </row>
    <row r="29">
      <c r="A29" s="6" t="inlineStr">
        <is>
          <t>FCFF</t>
        </is>
      </c>
      <c r="B29" s="112">
        <f>B25+B26-B27-B28</f>
        <v/>
      </c>
      <c r="C29" s="112">
        <f>C25+C26-C27-C28</f>
        <v/>
      </c>
      <c r="D29" s="112">
        <f>D25+D26-D27-D28</f>
        <v/>
      </c>
      <c r="E29" s="112">
        <f>E25+E26-E27-E28</f>
        <v/>
      </c>
      <c r="F29" s="112">
        <f>F25+F26-F27-F28</f>
        <v/>
      </c>
      <c r="H29" s="112">
        <f>H25+H26-H27-H28</f>
        <v/>
      </c>
      <c r="I29" s="112">
        <f>I25+I26-I27-I28</f>
        <v/>
      </c>
      <c r="J29" s="112">
        <f>J25+J26-J27-J28</f>
        <v/>
      </c>
      <c r="K29" s="112">
        <f>K25+K26-K27-K28</f>
        <v/>
      </c>
      <c r="L29" s="112">
        <f>L25+L26-L27-L28</f>
        <v/>
      </c>
      <c r="N29" s="112">
        <f>N25+N26-N27-N28</f>
        <v/>
      </c>
      <c r="O29" s="112">
        <f>O25+O26-O27-O28</f>
        <v/>
      </c>
      <c r="P29" s="112">
        <f>P25+P26-P27-P28</f>
        <v/>
      </c>
      <c r="Q29" s="112">
        <f>Q25+Q26-Q27-Q28</f>
        <v/>
      </c>
      <c r="R29" s="112">
        <f>R25+R26-R27-R28</f>
        <v/>
      </c>
    </row>
    <row r="30">
      <c r="A30" s="107" t="inlineStr">
        <is>
          <t>Discount period</t>
        </is>
      </c>
      <c r="B30" s="113" t="n">
        <v>0.5</v>
      </c>
      <c r="C30" s="113" t="n">
        <v>1.5</v>
      </c>
      <c r="D30" s="113" t="n">
        <v>2.5</v>
      </c>
      <c r="E30" s="113" t="n">
        <v>3.5</v>
      </c>
      <c r="F30" s="113" t="n">
        <v>4.5</v>
      </c>
      <c r="H30" s="113" t="n">
        <v>0.5</v>
      </c>
      <c r="I30" s="113" t="n">
        <v>1.5</v>
      </c>
      <c r="J30" s="113" t="n">
        <v>2.5</v>
      </c>
      <c r="K30" s="113" t="n">
        <v>3.5</v>
      </c>
      <c r="L30" s="113" t="n">
        <v>4.5</v>
      </c>
      <c r="N30" s="113" t="n">
        <v>0.5</v>
      </c>
      <c r="O30" s="113" t="n">
        <v>1.5</v>
      </c>
      <c r="P30" s="113" t="n">
        <v>2.5</v>
      </c>
      <c r="Q30" s="113" t="n">
        <v>3.5</v>
      </c>
      <c r="R30" s="113" t="n">
        <v>4.5</v>
      </c>
    </row>
    <row r="31">
      <c r="A31" s="107" t="inlineStr">
        <is>
          <t>Discount factor</t>
        </is>
      </c>
      <c r="B31" s="109">
        <f>1/(1+Assumptions!$E$18)^B30</f>
        <v/>
      </c>
      <c r="C31" s="109">
        <f>1/(1+Assumptions!$E$18)^C30</f>
        <v/>
      </c>
      <c r="D31" s="109">
        <f>1/(1+Assumptions!$E$18)^D30</f>
        <v/>
      </c>
      <c r="E31" s="109">
        <f>1/(1+Assumptions!$E$18)^E30</f>
        <v/>
      </c>
      <c r="F31" s="109">
        <f>1/(1+Assumptions!$E$18)^F30</f>
        <v/>
      </c>
      <c r="H31" s="109">
        <f>1/(1+Assumptions!$F$18)^H30</f>
        <v/>
      </c>
      <c r="I31" s="109">
        <f>1/(1+Assumptions!$F$18)^I30</f>
        <v/>
      </c>
      <c r="J31" s="109">
        <f>1/(1+Assumptions!$F$18)^J30</f>
        <v/>
      </c>
      <c r="K31" s="109">
        <f>1/(1+Assumptions!$F$18)^K30</f>
        <v/>
      </c>
      <c r="L31" s="109">
        <f>1/(1+Assumptions!$F$18)^L30</f>
        <v/>
      </c>
      <c r="N31" s="109">
        <f>1/(1+Assumptions!$G$18)^N30</f>
        <v/>
      </c>
      <c r="O31" s="109">
        <f>1/(1+Assumptions!$G$18)^O30</f>
        <v/>
      </c>
      <c r="P31" s="109">
        <f>1/(1+Assumptions!$G$18)^P30</f>
        <v/>
      </c>
      <c r="Q31" s="109">
        <f>1/(1+Assumptions!$G$18)^Q30</f>
        <v/>
      </c>
      <c r="R31" s="109">
        <f>1/(1+Assumptions!$G$18)^R30</f>
        <v/>
      </c>
    </row>
    <row r="32">
      <c r="A32" s="107" t="inlineStr">
        <is>
          <t>PV FCFF</t>
        </is>
      </c>
      <c r="B32" s="110">
        <f>B29*B31</f>
        <v/>
      </c>
      <c r="C32" s="110">
        <f>C29*C31</f>
        <v/>
      </c>
      <c r="D32" s="110">
        <f>D29*D31</f>
        <v/>
      </c>
      <c r="E32" s="110">
        <f>E29*E31</f>
        <v/>
      </c>
      <c r="F32" s="110">
        <f>F29*F31</f>
        <v/>
      </c>
      <c r="H32" s="110">
        <f>H29*H31</f>
        <v/>
      </c>
      <c r="I32" s="110">
        <f>I29*I31</f>
        <v/>
      </c>
      <c r="J32" s="110">
        <f>J29*J31</f>
        <v/>
      </c>
      <c r="K32" s="110">
        <f>K29*K31</f>
        <v/>
      </c>
      <c r="L32" s="110">
        <f>L29*L31</f>
        <v/>
      </c>
      <c r="N32" s="110">
        <f>N29*N31</f>
        <v/>
      </c>
      <c r="O32" s="110">
        <f>O29*O31</f>
        <v/>
      </c>
      <c r="P32" s="110">
        <f>P29*P31</f>
        <v/>
      </c>
      <c r="Q32" s="110">
        <f>Q29*Q31</f>
        <v/>
      </c>
      <c r="R32" s="110">
        <f>R29*R31</f>
        <v/>
      </c>
    </row>
    <row r="34">
      <c r="A34" s="107" t="inlineStr">
        <is>
          <t>Terminal value</t>
        </is>
      </c>
      <c r="B34" s="114" t="n"/>
      <c r="C34" s="114" t="n"/>
      <c r="D34" s="114" t="n"/>
      <c r="E34" s="114" t="n"/>
      <c r="F34" s="108">
        <f>F29*(1+Assumptions!$E$19)/(Assumptions!$E$18-Assumptions!$E$19)</f>
        <v/>
      </c>
      <c r="H34" s="114" t="n"/>
      <c r="I34" s="114" t="n"/>
      <c r="J34" s="114" t="n"/>
      <c r="K34" s="114" t="n"/>
      <c r="L34" s="108">
        <f>L29*(1+Assumptions!$F$19)/(Assumptions!$F$18-Assumptions!$F$19)</f>
        <v/>
      </c>
      <c r="N34" s="114" t="n"/>
      <c r="O34" s="114" t="n"/>
      <c r="P34" s="114" t="n"/>
      <c r="Q34" s="114" t="n"/>
      <c r="R34" s="108">
        <f>R29*(1+Assumptions!$G$19)/(Assumptions!$G$18-Assumptions!$G$19)</f>
        <v/>
      </c>
    </row>
    <row r="35">
      <c r="A35" s="107" t="inlineStr">
        <is>
          <t>PV terminal</t>
        </is>
      </c>
      <c r="B35" s="115" t="n"/>
      <c r="C35" s="115" t="n"/>
      <c r="D35" s="115" t="n"/>
      <c r="E35" s="115" t="n"/>
      <c r="F35" s="112">
        <f>F34*F31</f>
        <v/>
      </c>
      <c r="H35" s="115" t="n"/>
      <c r="I35" s="115" t="n"/>
      <c r="J35" s="115" t="n"/>
      <c r="K35" s="115" t="n"/>
      <c r="L35" s="112">
        <f>L34*L31</f>
        <v/>
      </c>
      <c r="N35" s="115" t="n"/>
      <c r="O35" s="115" t="n"/>
      <c r="P35" s="115" t="n"/>
      <c r="Q35" s="115" t="n"/>
      <c r="R35" s="112">
        <f>R34*R31</f>
        <v/>
      </c>
    </row>
    <row r="36">
      <c r="A36" s="107" t="inlineStr">
        <is>
          <t>PV explicit</t>
        </is>
      </c>
      <c r="B36" s="114" t="n"/>
      <c r="C36" s="114" t="n"/>
      <c r="D36" s="114" t="n"/>
      <c r="E36" s="114" t="n"/>
      <c r="F36" s="110">
        <f>SUM(B32:F32)</f>
        <v/>
      </c>
      <c r="H36" s="114" t="n"/>
      <c r="I36" s="114" t="n"/>
      <c r="J36" s="114" t="n"/>
      <c r="K36" s="114" t="n"/>
      <c r="L36" s="110">
        <f>SUM(H32:L32)</f>
        <v/>
      </c>
      <c r="N36" s="114" t="n"/>
      <c r="O36" s="114" t="n"/>
      <c r="P36" s="114" t="n"/>
      <c r="Q36" s="114" t="n"/>
      <c r="R36" s="110">
        <f>SUM(N32:R32)</f>
        <v/>
      </c>
    </row>
    <row r="37">
      <c r="A37" s="6" t="inlineStr">
        <is>
          <t>Enterprise value</t>
        </is>
      </c>
      <c r="B37" s="115" t="n"/>
      <c r="C37" s="115" t="n"/>
      <c r="D37" s="115" t="n"/>
      <c r="E37" s="115" t="n"/>
      <c r="F37" s="112">
        <f>F35+F36</f>
        <v/>
      </c>
      <c r="H37" s="115" t="n"/>
      <c r="I37" s="115" t="n"/>
      <c r="J37" s="115" t="n"/>
      <c r="K37" s="115" t="n"/>
      <c r="L37" s="112">
        <f>L35+L36</f>
        <v/>
      </c>
      <c r="N37" s="115" t="n"/>
      <c r="O37" s="115" t="n"/>
      <c r="P37" s="115" t="n"/>
      <c r="Q37" s="115" t="n"/>
      <c r="R37" s="112">
        <f>R35+R36</f>
        <v/>
      </c>
    </row>
    <row r="38">
      <c r="A38" s="6" t="inlineStr">
        <is>
          <t>Equity value</t>
        </is>
      </c>
      <c r="B38" s="114" t="n"/>
      <c r="C38" s="114" t="n"/>
      <c r="D38" s="114" t="n"/>
      <c r="E38" s="114" t="n"/>
      <c r="F38" s="108">
        <f>F37-Q1_Actuals!D36+Q1_Actuals!D25+Q1_Actuals!D26+Q1_Actuals!D27-Assumptions!$E$21-Assumptions!$E$22+Assumptions!$E$20</f>
        <v/>
      </c>
      <c r="H38" s="114" t="n"/>
      <c r="I38" s="114" t="n"/>
      <c r="J38" s="114" t="n"/>
      <c r="K38" s="114" t="n"/>
      <c r="L38" s="108">
        <f>L37-Q1_Actuals!D36+Q1_Actuals!D25+Q1_Actuals!D26+Q1_Actuals!D27-Assumptions!$F$21-Assumptions!$F$22+Assumptions!$F$20</f>
        <v/>
      </c>
      <c r="N38" s="114" t="n"/>
      <c r="O38" s="114" t="n"/>
      <c r="P38" s="114" t="n"/>
      <c r="Q38" s="114" t="n"/>
      <c r="R38" s="108">
        <f>R37-Q1_Actuals!D36+Q1_Actuals!D25+Q1_Actuals!D26+Q1_Actuals!D27-Assumptions!$G$21-Assumptions!$G$22+Assumptions!$G$20</f>
        <v/>
      </c>
    </row>
    <row r="39">
      <c r="A39" s="6" t="inlineStr">
        <is>
          <t>Value / share</t>
        </is>
      </c>
      <c r="B39" s="116" t="n"/>
      <c r="C39" s="116" t="n"/>
      <c r="D39" s="116" t="n"/>
      <c r="E39" s="116" t="n"/>
      <c r="F39" s="117">
        <f>F38*1000/IPO_Bridge!D11</f>
        <v/>
      </c>
      <c r="H39" s="116" t="n"/>
      <c r="I39" s="116" t="n"/>
      <c r="J39" s="116" t="n"/>
      <c r="K39" s="116" t="n"/>
      <c r="L39" s="117">
        <f>L38*1000/IPO_Bridge!D11</f>
        <v/>
      </c>
      <c r="N39" s="116" t="n"/>
      <c r="O39" s="116" t="n"/>
      <c r="P39" s="116" t="n"/>
      <c r="Q39" s="116" t="n"/>
      <c r="R39" s="117">
        <f>R38*1000/IPO_Bridge!D11</f>
        <v/>
      </c>
    </row>
    <row r="43" ht="21" customHeight="1">
      <c r="A43" s="5" t="inlineStr">
        <is>
          <t>DMX DCF VALUE / SHARE — BASE OPERATIONS, WACC × TERMINAL G</t>
        </is>
      </c>
      <c r="J43" s="5" t="inlineStr">
        <is>
          <t>MWG SOTP / SHARE — BASE INPUTS, DMX VALUE MULTIPLIER × HOLDCO DISCOUNT</t>
        </is>
      </c>
    </row>
    <row r="45">
      <c r="B45" t="inlineStr">
        <is>
          <t>WACC ↓ / g →</t>
        </is>
      </c>
      <c r="C45" s="118" t="n">
        <v>0.02</v>
      </c>
      <c r="D45" s="118" t="n">
        <v>0.03</v>
      </c>
      <c r="E45" s="118" t="n">
        <v>0.04</v>
      </c>
      <c r="F45" s="118" t="n">
        <v>0.05</v>
      </c>
      <c r="G45" s="118" t="n">
        <v>0.06</v>
      </c>
      <c r="J45" t="inlineStr">
        <is>
          <t>DMX value ↓ / discount →</t>
        </is>
      </c>
      <c r="K45" s="118" t="n">
        <v>0</v>
      </c>
      <c r="L45" s="118" t="n">
        <v>0.1</v>
      </c>
      <c r="M45" s="118" t="n">
        <v>0.2</v>
      </c>
      <c r="N45" s="118" t="n">
        <v>0.3</v>
      </c>
    </row>
    <row r="46">
      <c r="B46" s="118" t="n">
        <v>0.1</v>
      </c>
      <c r="C46" s="119">
        <f>(SUMPRODUCT($H$29:$L$29,1/(1+$B46)^{0.5,1.5,2.5,3.5,4.5})+$L$29*(1+C$45)/($B46-C$45)/(1+$B46)^4.5-Q1_Actuals!D36+Q1_Actuals!D25+Q1_Actuals!D26+Q1_Actuals!D27-Assumptions!$F$21-Assumptions!$F$22+Assumptions!$F$20)*1000/IPO_Bridge!D11</f>
        <v/>
      </c>
      <c r="D46" s="119">
        <f>(SUMPRODUCT($H$29:$L$29,1/(1+$B46)^{0.5,1.5,2.5,3.5,4.5})+$L$29*(1+D$45)/($B46-D$45)/(1+$B46)^4.5-Q1_Actuals!D36+Q1_Actuals!D25+Q1_Actuals!D26+Q1_Actuals!D27-Assumptions!$F$21-Assumptions!$F$22+Assumptions!$F$20)*1000/IPO_Bridge!D11</f>
        <v/>
      </c>
      <c r="E46" s="119">
        <f>(SUMPRODUCT($H$29:$L$29,1/(1+$B46)^{0.5,1.5,2.5,3.5,4.5})+$L$29*(1+E$45)/($B46-E$45)/(1+$B46)^4.5-Q1_Actuals!D36+Q1_Actuals!D25+Q1_Actuals!D26+Q1_Actuals!D27-Assumptions!$F$21-Assumptions!$F$22+Assumptions!$F$20)*1000/IPO_Bridge!D11</f>
        <v/>
      </c>
      <c r="F46" s="119">
        <f>(SUMPRODUCT($H$29:$L$29,1/(1+$B46)^{0.5,1.5,2.5,3.5,4.5})+$L$29*(1+F$45)/($B46-F$45)/(1+$B46)^4.5-Q1_Actuals!D36+Q1_Actuals!D25+Q1_Actuals!D26+Q1_Actuals!D27-Assumptions!$F$21-Assumptions!$F$22+Assumptions!$F$20)*1000/IPO_Bridge!D11</f>
        <v/>
      </c>
      <c r="G46" s="119">
        <f>(SUMPRODUCT($H$29:$L$29,1/(1+$B46)^{0.5,1.5,2.5,3.5,4.5})+$L$29*(1+G$45)/($B46-G$45)/(1+$B46)^4.5-Q1_Actuals!D36+Q1_Actuals!D25+Q1_Actuals!D26+Q1_Actuals!D27-Assumptions!$F$21-Assumptions!$F$22+Assumptions!$F$20)*1000/IPO_Bridge!D11</f>
        <v/>
      </c>
      <c r="J46" s="120" t="n">
        <v>0.8</v>
      </c>
      <c r="K46" s="119">
        <f>(($L$38*Assumptions!$F$23*$J46)+((Assumptions!$F$24*Assumptions!$F$25-Assumptions!$F$26)*Assumptions!$F$27+(Assumptions!$F$28*Assumptions!$F$29-Assumptions!$F$30)*Assumptions!$F$31+(Assumptions!$F$32*Assumptions!$F$33-Assumptions!$F$34)*Assumptions!$F$35+Assumptions!$F$36+Assumptions!$F$37-Assumptions!$F$38-Assumptions!$F$39))*(1-K$45)*1000/Assumptions!$F$41</f>
        <v/>
      </c>
      <c r="L46" s="119">
        <f>(($L$38*Assumptions!$F$23*$J46)+((Assumptions!$F$24*Assumptions!$F$25-Assumptions!$F$26)*Assumptions!$F$27+(Assumptions!$F$28*Assumptions!$F$29-Assumptions!$F$30)*Assumptions!$F$31+(Assumptions!$F$32*Assumptions!$F$33-Assumptions!$F$34)*Assumptions!$F$35+Assumptions!$F$36+Assumptions!$F$37-Assumptions!$F$38-Assumptions!$F$39))*(1-L$45)*1000/Assumptions!$F$41</f>
        <v/>
      </c>
      <c r="M46" s="119">
        <f>(($L$38*Assumptions!$F$23*$J46)+((Assumptions!$F$24*Assumptions!$F$25-Assumptions!$F$26)*Assumptions!$F$27+(Assumptions!$F$28*Assumptions!$F$29-Assumptions!$F$30)*Assumptions!$F$31+(Assumptions!$F$32*Assumptions!$F$33-Assumptions!$F$34)*Assumptions!$F$35+Assumptions!$F$36+Assumptions!$F$37-Assumptions!$F$38-Assumptions!$F$39))*(1-M$45)*1000/Assumptions!$F$41</f>
        <v/>
      </c>
      <c r="N46" s="119">
        <f>(($L$38*Assumptions!$F$23*$J46)+((Assumptions!$F$24*Assumptions!$F$25-Assumptions!$F$26)*Assumptions!$F$27+(Assumptions!$F$28*Assumptions!$F$29-Assumptions!$F$30)*Assumptions!$F$31+(Assumptions!$F$32*Assumptions!$F$33-Assumptions!$F$34)*Assumptions!$F$35+Assumptions!$F$36+Assumptions!$F$37-Assumptions!$F$38-Assumptions!$F$39))*(1-N$45)*1000/Assumptions!$F$41</f>
        <v/>
      </c>
    </row>
    <row r="47">
      <c r="B47" s="118" t="n">
        <v>0.11</v>
      </c>
      <c r="C47" s="119">
        <f>(SUMPRODUCT($H$29:$L$29,1/(1+$B47)^{0.5,1.5,2.5,3.5,4.5})+$L$29*(1+C$45)/($B47-C$45)/(1+$B47)^4.5-Q1_Actuals!D36+Q1_Actuals!D25+Q1_Actuals!D26+Q1_Actuals!D27-Assumptions!$F$21-Assumptions!$F$22+Assumptions!$F$20)*1000/IPO_Bridge!D11</f>
        <v/>
      </c>
      <c r="D47" s="119">
        <f>(SUMPRODUCT($H$29:$L$29,1/(1+$B47)^{0.5,1.5,2.5,3.5,4.5})+$L$29*(1+D$45)/($B47-D$45)/(1+$B47)^4.5-Q1_Actuals!D36+Q1_Actuals!D25+Q1_Actuals!D26+Q1_Actuals!D27-Assumptions!$F$21-Assumptions!$F$22+Assumptions!$F$20)*1000/IPO_Bridge!D11</f>
        <v/>
      </c>
      <c r="E47" s="119">
        <f>(SUMPRODUCT($H$29:$L$29,1/(1+$B47)^{0.5,1.5,2.5,3.5,4.5})+$L$29*(1+E$45)/($B47-E$45)/(1+$B47)^4.5-Q1_Actuals!D36+Q1_Actuals!D25+Q1_Actuals!D26+Q1_Actuals!D27-Assumptions!$F$21-Assumptions!$F$22+Assumptions!$F$20)*1000/IPO_Bridge!D11</f>
        <v/>
      </c>
      <c r="F47" s="119">
        <f>(SUMPRODUCT($H$29:$L$29,1/(1+$B47)^{0.5,1.5,2.5,3.5,4.5})+$L$29*(1+F$45)/($B47-F$45)/(1+$B47)^4.5-Q1_Actuals!D36+Q1_Actuals!D25+Q1_Actuals!D26+Q1_Actuals!D27-Assumptions!$F$21-Assumptions!$F$22+Assumptions!$F$20)*1000/IPO_Bridge!D11</f>
        <v/>
      </c>
      <c r="G47" s="119">
        <f>(SUMPRODUCT($H$29:$L$29,1/(1+$B47)^{0.5,1.5,2.5,3.5,4.5})+$L$29*(1+G$45)/($B47-G$45)/(1+$B47)^4.5-Q1_Actuals!D36+Q1_Actuals!D25+Q1_Actuals!D26+Q1_Actuals!D27-Assumptions!$F$21-Assumptions!$F$22+Assumptions!$F$20)*1000/IPO_Bridge!D11</f>
        <v/>
      </c>
      <c r="J47" s="120" t="n">
        <v>0.9</v>
      </c>
      <c r="K47" s="119">
        <f>(($L$38*Assumptions!$F$23*$J47)+((Assumptions!$F$24*Assumptions!$F$25-Assumptions!$F$26)*Assumptions!$F$27+(Assumptions!$F$28*Assumptions!$F$29-Assumptions!$F$30)*Assumptions!$F$31+(Assumptions!$F$32*Assumptions!$F$33-Assumptions!$F$34)*Assumptions!$F$35+Assumptions!$F$36+Assumptions!$F$37-Assumptions!$F$38-Assumptions!$F$39))*(1-K$45)*1000/Assumptions!$F$41</f>
        <v/>
      </c>
      <c r="L47" s="119">
        <f>(($L$38*Assumptions!$F$23*$J47)+((Assumptions!$F$24*Assumptions!$F$25-Assumptions!$F$26)*Assumptions!$F$27+(Assumptions!$F$28*Assumptions!$F$29-Assumptions!$F$30)*Assumptions!$F$31+(Assumptions!$F$32*Assumptions!$F$33-Assumptions!$F$34)*Assumptions!$F$35+Assumptions!$F$36+Assumptions!$F$37-Assumptions!$F$38-Assumptions!$F$39))*(1-L$45)*1000/Assumptions!$F$41</f>
        <v/>
      </c>
      <c r="M47" s="119">
        <f>(($L$38*Assumptions!$F$23*$J47)+((Assumptions!$F$24*Assumptions!$F$25-Assumptions!$F$26)*Assumptions!$F$27+(Assumptions!$F$28*Assumptions!$F$29-Assumptions!$F$30)*Assumptions!$F$31+(Assumptions!$F$32*Assumptions!$F$33-Assumptions!$F$34)*Assumptions!$F$35+Assumptions!$F$36+Assumptions!$F$37-Assumptions!$F$38-Assumptions!$F$39))*(1-M$45)*1000/Assumptions!$F$41</f>
        <v/>
      </c>
      <c r="N47" s="119">
        <f>(($L$38*Assumptions!$F$23*$J47)+((Assumptions!$F$24*Assumptions!$F$25-Assumptions!$F$26)*Assumptions!$F$27+(Assumptions!$F$28*Assumptions!$F$29-Assumptions!$F$30)*Assumptions!$F$31+(Assumptions!$F$32*Assumptions!$F$33-Assumptions!$F$34)*Assumptions!$F$35+Assumptions!$F$36+Assumptions!$F$37-Assumptions!$F$38-Assumptions!$F$39))*(1-N$45)*1000/Assumptions!$F$41</f>
        <v/>
      </c>
    </row>
    <row r="48">
      <c r="B48" s="118" t="n">
        <v>0.12</v>
      </c>
      <c r="C48" s="119">
        <f>(SUMPRODUCT($H$29:$L$29,1/(1+$B48)^{0.5,1.5,2.5,3.5,4.5})+$L$29*(1+C$45)/($B48-C$45)/(1+$B48)^4.5-Q1_Actuals!D36+Q1_Actuals!D25+Q1_Actuals!D26+Q1_Actuals!D27-Assumptions!$F$21-Assumptions!$F$22+Assumptions!$F$20)*1000/IPO_Bridge!D11</f>
        <v/>
      </c>
      <c r="D48" s="119">
        <f>(SUMPRODUCT($H$29:$L$29,1/(1+$B48)^{0.5,1.5,2.5,3.5,4.5})+$L$29*(1+D$45)/($B48-D$45)/(1+$B48)^4.5-Q1_Actuals!D36+Q1_Actuals!D25+Q1_Actuals!D26+Q1_Actuals!D27-Assumptions!$F$21-Assumptions!$F$22+Assumptions!$F$20)*1000/IPO_Bridge!D11</f>
        <v/>
      </c>
      <c r="E48" s="119">
        <f>(SUMPRODUCT($H$29:$L$29,1/(1+$B48)^{0.5,1.5,2.5,3.5,4.5})+$L$29*(1+E$45)/($B48-E$45)/(1+$B48)^4.5-Q1_Actuals!D36+Q1_Actuals!D25+Q1_Actuals!D26+Q1_Actuals!D27-Assumptions!$F$21-Assumptions!$F$22+Assumptions!$F$20)*1000/IPO_Bridge!D11</f>
        <v/>
      </c>
      <c r="F48" s="119">
        <f>(SUMPRODUCT($H$29:$L$29,1/(1+$B48)^{0.5,1.5,2.5,3.5,4.5})+$L$29*(1+F$45)/($B48-F$45)/(1+$B48)^4.5-Q1_Actuals!D36+Q1_Actuals!D25+Q1_Actuals!D26+Q1_Actuals!D27-Assumptions!$F$21-Assumptions!$F$22+Assumptions!$F$20)*1000/IPO_Bridge!D11</f>
        <v/>
      </c>
      <c r="G48" s="119">
        <f>(SUMPRODUCT($H$29:$L$29,1/(1+$B48)^{0.5,1.5,2.5,3.5,4.5})+$L$29*(1+G$45)/($B48-G$45)/(1+$B48)^4.5-Q1_Actuals!D36+Q1_Actuals!D25+Q1_Actuals!D26+Q1_Actuals!D27-Assumptions!$F$21-Assumptions!$F$22+Assumptions!$F$20)*1000/IPO_Bridge!D11</f>
        <v/>
      </c>
      <c r="J48" s="120" t="n">
        <v>1</v>
      </c>
      <c r="K48" s="119">
        <f>(($L$38*Assumptions!$F$23*$J48)+((Assumptions!$F$24*Assumptions!$F$25-Assumptions!$F$26)*Assumptions!$F$27+(Assumptions!$F$28*Assumptions!$F$29-Assumptions!$F$30)*Assumptions!$F$31+(Assumptions!$F$32*Assumptions!$F$33-Assumptions!$F$34)*Assumptions!$F$35+Assumptions!$F$36+Assumptions!$F$37-Assumptions!$F$38-Assumptions!$F$39))*(1-K$45)*1000/Assumptions!$F$41</f>
        <v/>
      </c>
      <c r="L48" s="119">
        <f>(($L$38*Assumptions!$F$23*$J48)+((Assumptions!$F$24*Assumptions!$F$25-Assumptions!$F$26)*Assumptions!$F$27+(Assumptions!$F$28*Assumptions!$F$29-Assumptions!$F$30)*Assumptions!$F$31+(Assumptions!$F$32*Assumptions!$F$33-Assumptions!$F$34)*Assumptions!$F$35+Assumptions!$F$36+Assumptions!$F$37-Assumptions!$F$38-Assumptions!$F$39))*(1-L$45)*1000/Assumptions!$F$41</f>
        <v/>
      </c>
      <c r="M48" s="119">
        <f>(($L$38*Assumptions!$F$23*$J48)+((Assumptions!$F$24*Assumptions!$F$25-Assumptions!$F$26)*Assumptions!$F$27+(Assumptions!$F$28*Assumptions!$F$29-Assumptions!$F$30)*Assumptions!$F$31+(Assumptions!$F$32*Assumptions!$F$33-Assumptions!$F$34)*Assumptions!$F$35+Assumptions!$F$36+Assumptions!$F$37-Assumptions!$F$38-Assumptions!$F$39))*(1-M$45)*1000/Assumptions!$F$41</f>
        <v/>
      </c>
      <c r="N48" s="119">
        <f>(($L$38*Assumptions!$F$23*$J48)+((Assumptions!$F$24*Assumptions!$F$25-Assumptions!$F$26)*Assumptions!$F$27+(Assumptions!$F$28*Assumptions!$F$29-Assumptions!$F$30)*Assumptions!$F$31+(Assumptions!$F$32*Assumptions!$F$33-Assumptions!$F$34)*Assumptions!$F$35+Assumptions!$F$36+Assumptions!$F$37-Assumptions!$F$38-Assumptions!$F$39))*(1-N$45)*1000/Assumptions!$F$41</f>
        <v/>
      </c>
    </row>
    <row r="49">
      <c r="B49" s="118" t="n">
        <v>0.13</v>
      </c>
      <c r="C49" s="119">
        <f>(SUMPRODUCT($H$29:$L$29,1/(1+$B49)^{0.5,1.5,2.5,3.5,4.5})+$L$29*(1+C$45)/($B49-C$45)/(1+$B49)^4.5-Q1_Actuals!D36+Q1_Actuals!D25+Q1_Actuals!D26+Q1_Actuals!D27-Assumptions!$F$21-Assumptions!$F$22+Assumptions!$F$20)*1000/IPO_Bridge!D11</f>
        <v/>
      </c>
      <c r="D49" s="119">
        <f>(SUMPRODUCT($H$29:$L$29,1/(1+$B49)^{0.5,1.5,2.5,3.5,4.5})+$L$29*(1+D$45)/($B49-D$45)/(1+$B49)^4.5-Q1_Actuals!D36+Q1_Actuals!D25+Q1_Actuals!D26+Q1_Actuals!D27-Assumptions!$F$21-Assumptions!$F$22+Assumptions!$F$20)*1000/IPO_Bridge!D11</f>
        <v/>
      </c>
      <c r="E49" s="119">
        <f>(SUMPRODUCT($H$29:$L$29,1/(1+$B49)^{0.5,1.5,2.5,3.5,4.5})+$L$29*(1+E$45)/($B49-E$45)/(1+$B49)^4.5-Q1_Actuals!D36+Q1_Actuals!D25+Q1_Actuals!D26+Q1_Actuals!D27-Assumptions!$F$21-Assumptions!$F$22+Assumptions!$F$20)*1000/IPO_Bridge!D11</f>
        <v/>
      </c>
      <c r="F49" s="119">
        <f>(SUMPRODUCT($H$29:$L$29,1/(1+$B49)^{0.5,1.5,2.5,3.5,4.5})+$L$29*(1+F$45)/($B49-F$45)/(1+$B49)^4.5-Q1_Actuals!D36+Q1_Actuals!D25+Q1_Actuals!D26+Q1_Actuals!D27-Assumptions!$F$21-Assumptions!$F$22+Assumptions!$F$20)*1000/IPO_Bridge!D11</f>
        <v/>
      </c>
      <c r="G49" s="119">
        <f>(SUMPRODUCT($H$29:$L$29,1/(1+$B49)^{0.5,1.5,2.5,3.5,4.5})+$L$29*(1+G$45)/($B49-G$45)/(1+$B49)^4.5-Q1_Actuals!D36+Q1_Actuals!D25+Q1_Actuals!D26+Q1_Actuals!D27-Assumptions!$F$21-Assumptions!$F$22+Assumptions!$F$20)*1000/IPO_Bridge!D11</f>
        <v/>
      </c>
      <c r="J49" s="120" t="n">
        <v>1.1</v>
      </c>
      <c r="K49" s="119">
        <f>(($L$38*Assumptions!$F$23*$J49)+((Assumptions!$F$24*Assumptions!$F$25-Assumptions!$F$26)*Assumptions!$F$27+(Assumptions!$F$28*Assumptions!$F$29-Assumptions!$F$30)*Assumptions!$F$31+(Assumptions!$F$32*Assumptions!$F$33-Assumptions!$F$34)*Assumptions!$F$35+Assumptions!$F$36+Assumptions!$F$37-Assumptions!$F$38-Assumptions!$F$39))*(1-K$45)*1000/Assumptions!$F$41</f>
        <v/>
      </c>
      <c r="L49" s="119">
        <f>(($L$38*Assumptions!$F$23*$J49)+((Assumptions!$F$24*Assumptions!$F$25-Assumptions!$F$26)*Assumptions!$F$27+(Assumptions!$F$28*Assumptions!$F$29-Assumptions!$F$30)*Assumptions!$F$31+(Assumptions!$F$32*Assumptions!$F$33-Assumptions!$F$34)*Assumptions!$F$35+Assumptions!$F$36+Assumptions!$F$37-Assumptions!$F$38-Assumptions!$F$39))*(1-L$45)*1000/Assumptions!$F$41</f>
        <v/>
      </c>
      <c r="M49" s="119">
        <f>(($L$38*Assumptions!$F$23*$J49)+((Assumptions!$F$24*Assumptions!$F$25-Assumptions!$F$26)*Assumptions!$F$27+(Assumptions!$F$28*Assumptions!$F$29-Assumptions!$F$30)*Assumptions!$F$31+(Assumptions!$F$32*Assumptions!$F$33-Assumptions!$F$34)*Assumptions!$F$35+Assumptions!$F$36+Assumptions!$F$37-Assumptions!$F$38-Assumptions!$F$39))*(1-M$45)*1000/Assumptions!$F$41</f>
        <v/>
      </c>
      <c r="N49" s="119">
        <f>(($L$38*Assumptions!$F$23*$J49)+((Assumptions!$F$24*Assumptions!$F$25-Assumptions!$F$26)*Assumptions!$F$27+(Assumptions!$F$28*Assumptions!$F$29-Assumptions!$F$30)*Assumptions!$F$31+(Assumptions!$F$32*Assumptions!$F$33-Assumptions!$F$34)*Assumptions!$F$35+Assumptions!$F$36+Assumptions!$F$37-Assumptions!$F$38-Assumptions!$F$39))*(1-N$45)*1000/Assumptions!$F$41</f>
        <v/>
      </c>
    </row>
    <row r="50">
      <c r="B50" s="118" t="n">
        <v>0.14</v>
      </c>
      <c r="C50" s="119">
        <f>(SUMPRODUCT($H$29:$L$29,1/(1+$B50)^{0.5,1.5,2.5,3.5,4.5})+$L$29*(1+C$45)/($B50-C$45)/(1+$B50)^4.5-Q1_Actuals!D36+Q1_Actuals!D25+Q1_Actuals!D26+Q1_Actuals!D27-Assumptions!$F$21-Assumptions!$F$22+Assumptions!$F$20)*1000/IPO_Bridge!D11</f>
        <v/>
      </c>
      <c r="D50" s="119">
        <f>(SUMPRODUCT($H$29:$L$29,1/(1+$B50)^{0.5,1.5,2.5,3.5,4.5})+$L$29*(1+D$45)/($B50-D$45)/(1+$B50)^4.5-Q1_Actuals!D36+Q1_Actuals!D25+Q1_Actuals!D26+Q1_Actuals!D27-Assumptions!$F$21-Assumptions!$F$22+Assumptions!$F$20)*1000/IPO_Bridge!D11</f>
        <v/>
      </c>
      <c r="E50" s="119">
        <f>(SUMPRODUCT($H$29:$L$29,1/(1+$B50)^{0.5,1.5,2.5,3.5,4.5})+$L$29*(1+E$45)/($B50-E$45)/(1+$B50)^4.5-Q1_Actuals!D36+Q1_Actuals!D25+Q1_Actuals!D26+Q1_Actuals!D27-Assumptions!$F$21-Assumptions!$F$22+Assumptions!$F$20)*1000/IPO_Bridge!D11</f>
        <v/>
      </c>
      <c r="F50" s="119">
        <f>(SUMPRODUCT($H$29:$L$29,1/(1+$B50)^{0.5,1.5,2.5,3.5,4.5})+$L$29*(1+F$45)/($B50-F$45)/(1+$B50)^4.5-Q1_Actuals!D36+Q1_Actuals!D25+Q1_Actuals!D26+Q1_Actuals!D27-Assumptions!$F$21-Assumptions!$F$22+Assumptions!$F$20)*1000/IPO_Bridge!D11</f>
        <v/>
      </c>
      <c r="G50" s="119">
        <f>(SUMPRODUCT($H$29:$L$29,1/(1+$B50)^{0.5,1.5,2.5,3.5,4.5})+$L$29*(1+G$45)/($B50-G$45)/(1+$B50)^4.5-Q1_Actuals!D36+Q1_Actuals!D25+Q1_Actuals!D26+Q1_Actuals!D27-Assumptions!$F$21-Assumptions!$F$22+Assumptions!$F$20)*1000/IPO_Bridge!D11</f>
        <v/>
      </c>
      <c r="J50" s="120" t="n">
        <v>1.2</v>
      </c>
      <c r="K50" s="119">
        <f>(($L$38*Assumptions!$F$23*$J50)+((Assumptions!$F$24*Assumptions!$F$25-Assumptions!$F$26)*Assumptions!$F$27+(Assumptions!$F$28*Assumptions!$F$29-Assumptions!$F$30)*Assumptions!$F$31+(Assumptions!$F$32*Assumptions!$F$33-Assumptions!$F$34)*Assumptions!$F$35+Assumptions!$F$36+Assumptions!$F$37-Assumptions!$F$38-Assumptions!$F$39))*(1-K$45)*1000/Assumptions!$F$41</f>
        <v/>
      </c>
      <c r="L50" s="119">
        <f>(($L$38*Assumptions!$F$23*$J50)+((Assumptions!$F$24*Assumptions!$F$25-Assumptions!$F$26)*Assumptions!$F$27+(Assumptions!$F$28*Assumptions!$F$29-Assumptions!$F$30)*Assumptions!$F$31+(Assumptions!$F$32*Assumptions!$F$33-Assumptions!$F$34)*Assumptions!$F$35+Assumptions!$F$36+Assumptions!$F$37-Assumptions!$F$38-Assumptions!$F$39))*(1-L$45)*1000/Assumptions!$F$41</f>
        <v/>
      </c>
      <c r="M50" s="119">
        <f>(($L$38*Assumptions!$F$23*$J50)+((Assumptions!$F$24*Assumptions!$F$25-Assumptions!$F$26)*Assumptions!$F$27+(Assumptions!$F$28*Assumptions!$F$29-Assumptions!$F$30)*Assumptions!$F$31+(Assumptions!$F$32*Assumptions!$F$33-Assumptions!$F$34)*Assumptions!$F$35+Assumptions!$F$36+Assumptions!$F$37-Assumptions!$F$38-Assumptions!$F$39))*(1-M$45)*1000/Assumptions!$F$41</f>
        <v/>
      </c>
      <c r="N50" s="119">
        <f>(($L$38*Assumptions!$F$23*$J50)+((Assumptions!$F$24*Assumptions!$F$25-Assumptions!$F$26)*Assumptions!$F$27+(Assumptions!$F$28*Assumptions!$F$29-Assumptions!$F$30)*Assumptions!$F$31+(Assumptions!$F$32*Assumptions!$F$33-Assumptions!$F$34)*Assumptions!$F$35+Assumptions!$F$36+Assumptions!$F$37-Assumptions!$F$38-Assumptions!$F$39))*(1-N$45)*1000/Assumptions!$F$41</f>
        <v/>
      </c>
    </row>
  </sheetData>
  <mergeCells count="7">
    <mergeCell ref="N20:R20"/>
    <mergeCell ref="B20:F20"/>
    <mergeCell ref="A2:R2"/>
    <mergeCell ref="H20:L20"/>
    <mergeCell ref="A43:H43"/>
    <mergeCell ref="J43:P43"/>
    <mergeCell ref="A1:R1"/>
  </mergeCells>
  <conditionalFormatting sqref="C46:G50">
    <cfRule type="colorScale" priority="1">
      <colorScale>
        <cfvo type="min"/>
        <cfvo type="percentile" val="50"/>
        <cfvo type="max"/>
        <color rgb="00FCE4D6"/>
        <color rgb="00FFF2CC"/>
        <color rgb="00E2F0D9"/>
      </colorScale>
    </cfRule>
  </conditionalFormatting>
  <conditionalFormatting sqref="K46:N50">
    <cfRule type="colorScale" priority="2">
      <colorScale>
        <cfvo type="min"/>
        <cfvo type="percentile" val="50"/>
        <cfvo type="max"/>
        <color rgb="00FCE4D6"/>
        <color rgb="00FFF2CC"/>
        <color rgb="00E2F0D9"/>
      </colorScale>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A6A6"/>
    <outlinePr summaryBelow="1" summaryRight="1"/>
    <pageSetUpPr fitToPage="1"/>
  </sheetPr>
  <dimension ref="A1:J24"/>
  <sheetViews>
    <sheetView showGridLines="0" zoomScale="80" workbookViewId="0">
      <pane ySplit="4" topLeftCell="A5" activePane="bottomLeft" state="frozen"/>
      <selection pane="bottomLeft" activeCell="A1" sqref="A1"/>
    </sheetView>
  </sheetViews>
  <sheetFormatPr baseColWidth="8" defaultRowHeight="15"/>
  <cols>
    <col width="31" customWidth="1" min="1" max="1"/>
    <col width="18" customWidth="1" min="2" max="2"/>
    <col width="13" customWidth="1" min="3" max="3"/>
    <col width="49" customWidth="1" min="4" max="4"/>
    <col width="15" customWidth="1" min="5" max="5"/>
    <col width="18" customWidth="1" min="6" max="6"/>
    <col width="22" customWidth="1" min="7" max="7"/>
    <col width="50" customWidth="1" min="8" max="8"/>
    <col width="25" customWidth="1" min="9" max="9"/>
    <col width="25" customWidth="1" min="10" max="10"/>
  </cols>
  <sheetData>
    <row r="1" ht="31" customHeight="1">
      <c r="A1" s="20" t="inlineStr">
        <is>
          <t>Model QA &amp; publication gates</t>
        </is>
      </c>
    </row>
    <row r="2" ht="23" customHeight="1">
      <c r="A2" s="21" t="inlineStr">
        <is>
          <t>Critical errors must be zero. Warnings disclose missing evidence or judgement; they are not silently overwritten.</t>
        </is>
      </c>
    </row>
    <row r="4" ht="30" customHeight="1">
      <c r="A4" s="14" t="inlineStr">
        <is>
          <t>Check ID</t>
        </is>
      </c>
      <c r="B4" s="14" t="inlineStr">
        <is>
          <t>Area</t>
        </is>
      </c>
      <c r="C4" s="14" t="inlineStr">
        <is>
          <t>Severity</t>
        </is>
      </c>
      <c r="D4" s="14" t="inlineStr">
        <is>
          <t>Test</t>
        </is>
      </c>
      <c r="E4" s="14" t="inlineStr">
        <is>
          <t>Tolerance</t>
        </is>
      </c>
      <c r="F4" s="14" t="inlineStr">
        <is>
          <t>Calculated value</t>
        </is>
      </c>
      <c r="G4" s="14" t="inlineStr">
        <is>
          <t>Status</t>
        </is>
      </c>
      <c r="H4" s="14" t="inlineStr">
        <is>
          <t>Interpretation / action</t>
        </is>
      </c>
      <c r="J4" s="121" t="inlineStr">
        <is>
          <t>QA DASHBOARD</t>
        </is>
      </c>
    </row>
    <row r="5" ht="34" customHeight="1">
      <c r="A5" s="53" t="inlineStr">
        <is>
          <t>CHK_IPO_SHARES</t>
        </is>
      </c>
      <c r="B5" s="28" t="inlineStr">
        <is>
          <t>IPO</t>
        </is>
      </c>
      <c r="C5" s="122" t="inlineStr">
        <is>
          <t>Critical</t>
        </is>
      </c>
      <c r="D5" s="28" t="inlineStr">
        <is>
          <t>Pre shares + allocated shares = post shares</t>
        </is>
      </c>
      <c r="E5" s="39" t="n">
        <v>1e-06</v>
      </c>
      <c r="F5" s="123">
        <f>ABS(IPO_Bridge!D6+IPO_Bridge!D9-IPO_Bridge!D11)</f>
        <v/>
      </c>
      <c r="G5" s="124">
        <f>IF(F5&lt;=E5,"PASS","FAIL")</f>
        <v/>
      </c>
      <c r="H5" s="28" t="inlineStr">
        <is>
          <t>Share-count identity</t>
        </is>
      </c>
      <c r="I5" s="125" t="inlineStr">
        <is>
          <t>Critical FAIL</t>
        </is>
      </c>
      <c r="J5" s="126">
        <f>COUNTIFS(C5:C24,"Critical",G5:G24,"FAIL*")</f>
        <v/>
      </c>
    </row>
    <row r="6" ht="34" customHeight="1">
      <c r="A6" s="55" t="inlineStr">
        <is>
          <t>CHK_IPO_PROCEEDS</t>
        </is>
      </c>
      <c r="B6" s="31" t="inlineStr">
        <is>
          <t>IPO</t>
        </is>
      </c>
      <c r="C6" s="127" t="inlineStr">
        <is>
          <t>Critical</t>
        </is>
      </c>
      <c r="D6" s="31" t="inlineStr">
        <is>
          <t>Allocated shares × offer price = officially reported VND 13,315.080bn</t>
        </is>
      </c>
      <c r="E6" s="36" t="n">
        <v>0.001</v>
      </c>
      <c r="F6" s="128">
        <f>ABS(IPO_Bridge!D9*IPO_Bridge!D5/1000-13315.080)</f>
        <v/>
      </c>
      <c r="G6" s="129">
        <f>IF(F6&lt;=E6,"PASS","FAIL")</f>
        <v/>
      </c>
      <c r="H6" s="31" t="inlineStr">
        <is>
          <t>Unit conversion: mn shares × VND/share ÷ 1,000 = VND bn</t>
        </is>
      </c>
      <c r="I6" s="125" t="inlineStr">
        <is>
          <t>Warnings</t>
        </is>
      </c>
      <c r="J6" s="126">
        <f>COUNTIF(G5:G24,"WARN*")</f>
        <v/>
      </c>
    </row>
    <row r="7" ht="34" customHeight="1">
      <c r="A7" s="53" t="inlineStr">
        <is>
          <t>CHK_IPO_CANCELLED</t>
        </is>
      </c>
      <c r="B7" s="28" t="inlineStr">
        <is>
          <t>IPO</t>
        </is>
      </c>
      <c r="C7" s="122" t="inlineStr">
        <is>
          <t>Critical</t>
        </is>
      </c>
      <c r="D7" s="28" t="inlineStr">
        <is>
          <t>Offered − allocated − cancelled = 0</t>
        </is>
      </c>
      <c r="E7" s="39" t="n">
        <v>1e-06</v>
      </c>
      <c r="F7" s="123">
        <f>ABS(IPO_Bridge!D7-IPO_Bridge!D9-IPO_Bridge!D10)</f>
        <v/>
      </c>
      <c r="G7" s="124">
        <f>IF(F7&lt;=E7,"PASS","FAIL")</f>
        <v/>
      </c>
      <c r="H7" s="28" t="inlineStr">
        <is>
          <t>Unallocated shares are not added to charter capital</t>
        </is>
      </c>
      <c r="I7" s="125" t="inlineStr">
        <is>
          <t>Active scenario</t>
        </is>
      </c>
      <c r="J7" s="126">
        <f>Assumptions!C4</f>
        <v/>
      </c>
    </row>
    <row r="8" ht="34" customHeight="1">
      <c r="A8" s="55" t="inlineStr">
        <is>
          <t>CHK_IPO_VALUATION_IDENTITY</t>
        </is>
      </c>
      <c r="B8" s="31" t="inlineStr">
        <is>
          <t>IPO</t>
        </is>
      </c>
      <c r="C8" s="127" t="inlineStr">
        <is>
          <t>Critical</t>
        </is>
      </c>
      <c r="D8" s="31" t="inlineStr">
        <is>
          <t>Pre-money + gross proceeds = post-money at the same IPO price</t>
        </is>
      </c>
      <c r="E8" s="36" t="n">
        <v>0.001</v>
      </c>
      <c r="F8" s="128">
        <f>ABS(IPO_Bridge!D15+IPO_Bridge!D12-IPO_Bridge!D16)</f>
        <v/>
      </c>
      <c r="G8" s="129">
        <f>IF(F8&lt;=E8,"PASS","FAIL")</f>
        <v/>
      </c>
      <c r="H8" s="31" t="inlineStr">
        <is>
          <t>Transaction identity; not evidence of value creation</t>
        </is>
      </c>
      <c r="I8" s="125" t="inlineStr">
        <is>
          <t>Market conclusion allowed</t>
        </is>
      </c>
      <c r="J8" s="130">
        <f>IF(AND(J5=0,J6=0,Assumptions!C5&lt;&gt;"N/A",Assumptions!C6&lt;&gt;"N/A",Assumptions!C8&lt;&gt;"N/A"),"YES","NO")</f>
        <v/>
      </c>
    </row>
    <row r="9" ht="34" customHeight="1">
      <c r="A9" s="53" t="inlineStr">
        <is>
          <t>CHK_3S_BS_BALANCE</t>
        </is>
      </c>
      <c r="B9" s="28" t="inlineStr">
        <is>
          <t>Actuals</t>
        </is>
      </c>
      <c r="C9" s="122" t="inlineStr">
        <is>
          <t>Critical</t>
        </is>
      </c>
      <c r="D9" s="28" t="inlineStr">
        <is>
          <t>Assets − liabilities − equity = 0</t>
        </is>
      </c>
      <c r="E9" s="39" t="n">
        <v>0.5</v>
      </c>
      <c r="F9" s="123">
        <f>ABS(Q1_Actuals!D34-Q1_Actuals!D37-Q1_Actuals!D38)</f>
        <v/>
      </c>
      <c r="G9" s="124">
        <f>IF(F9&lt;=E9,"PASS","FAIL")</f>
        <v/>
      </c>
      <c r="H9" s="28" t="inlineStr">
        <is>
          <t>31-Mar-2026 consolidated balance sheet</t>
        </is>
      </c>
      <c r="I9" s="125" t="inlineStr">
        <is>
          <t>Workbook publishable now</t>
        </is>
      </c>
      <c r="J9" s="130">
        <f>IF(AND(J5=0,J6=0),"YES","NO — resolve warnings")</f>
        <v/>
      </c>
    </row>
    <row r="10" ht="34" customHeight="1">
      <c r="A10" s="55" t="inlineStr">
        <is>
          <t>CHK_3S_CASH_ROLL</t>
        </is>
      </c>
      <c r="B10" s="31" t="inlineStr">
        <is>
          <t>Actuals</t>
        </is>
      </c>
      <c r="C10" s="127" t="inlineStr">
        <is>
          <t>Critical</t>
        </is>
      </c>
      <c r="D10" s="31" t="inlineStr">
        <is>
          <t>Opening cash + net change + FX = closing cash</t>
        </is>
      </c>
      <c r="E10" s="36" t="n">
        <v>0.5</v>
      </c>
      <c r="F10" s="128">
        <f>ABS(Q1_Actuals!D50+Q1_Actuals!D49+Q1_Actuals!D51-Q1_Actuals!D52)</f>
        <v/>
      </c>
      <c r="G10" s="129">
        <f>IF(F10&lt;=E10,"PASS","FAIL")</f>
        <v/>
      </c>
      <c r="H10" s="31" t="inlineStr">
        <is>
          <t>Q1 2026 cash-flow roll-forward</t>
        </is>
      </c>
    </row>
    <row r="11" ht="34" customHeight="1">
      <c r="A11" s="53" t="inlineStr">
        <is>
          <t>CHK_IS_GROSS_PROFIT</t>
        </is>
      </c>
      <c r="B11" s="28" t="inlineStr">
        <is>
          <t>Actuals</t>
        </is>
      </c>
      <c r="C11" s="122" t="inlineStr">
        <is>
          <t>Critical</t>
        </is>
      </c>
      <c r="D11" s="28" t="inlineStr">
        <is>
          <t>Revenue + reported COGS − gross profit = 0</t>
        </is>
      </c>
      <c r="E11" s="39" t="n">
        <v>0.5</v>
      </c>
      <c r="F11" s="123">
        <f>ABS(Q1_Actuals!D6+Q1_Actuals!D7-Q1_Actuals!D8)</f>
        <v/>
      </c>
      <c r="G11" s="124">
        <f>IF(F11&lt;=E11,"PASS","FAIL")</f>
        <v/>
      </c>
      <c r="H11" s="28" t="inlineStr">
        <is>
          <t>Reported expense sign is negative</t>
        </is>
      </c>
    </row>
    <row r="12" ht="34" customHeight="1">
      <c r="A12" s="55" t="inlineStr">
        <is>
          <t>CHK_DCF_WACC_GT_G</t>
        </is>
      </c>
      <c r="B12" s="31" t="inlineStr">
        <is>
          <t>DCF</t>
        </is>
      </c>
      <c r="C12" s="127" t="inlineStr">
        <is>
          <t>Critical</t>
        </is>
      </c>
      <c r="D12" s="31" t="inlineStr">
        <is>
          <t>WACC must exceed terminal growth</t>
        </is>
      </c>
      <c r="E12" s="36" t="n">
        <v>0</v>
      </c>
      <c r="F12" s="128">
        <f>DMX_Valuation!K6-DMX_Valuation!K7</f>
        <v/>
      </c>
      <c r="G12" s="129">
        <f>IF(F12&gt;E12,"PASS","FAIL")</f>
        <v/>
      </c>
      <c r="H12" s="31" t="inlineStr">
        <is>
          <t>A non-positive spread makes perpetuity value invalid</t>
        </is>
      </c>
    </row>
    <row r="13" ht="34" customHeight="1">
      <c r="A13" s="53" t="inlineStr">
        <is>
          <t>CHK_DCF_EV_BRIDGE</t>
        </is>
      </c>
      <c r="B13" s="28" t="inlineStr">
        <is>
          <t>DCF</t>
        </is>
      </c>
      <c r="C13" s="122" t="inlineStr">
        <is>
          <t>Critical</t>
        </is>
      </c>
      <c r="D13" s="28" t="inlineStr">
        <is>
          <t>EV = PV explicit FCFF + PV terminal value</t>
        </is>
      </c>
      <c r="E13" s="39" t="n">
        <v>0.01</v>
      </c>
      <c r="F13" s="123">
        <f>ABS(DMX_Valuation!K12-DMX_Valuation!K11-DMX_Valuation!K10)</f>
        <v/>
      </c>
      <c r="G13" s="124">
        <f>IF(F13&lt;=E13,"PASS","FAIL")</f>
        <v/>
      </c>
      <c r="H13" s="28" t="inlineStr">
        <is>
          <t>Enterprise-value bridge</t>
        </is>
      </c>
    </row>
    <row r="14" ht="34" customHeight="1">
      <c r="A14" s="55" t="inlineStr">
        <is>
          <t>CHK_DCF_EQUITY_BRIDGE</t>
        </is>
      </c>
      <c r="B14" s="31" t="inlineStr">
        <is>
          <t>DCF</t>
        </is>
      </c>
      <c r="C14" s="127" t="inlineStr">
        <is>
          <t>Critical</t>
        </is>
      </c>
      <c r="D14" s="31" t="inlineStr">
        <is>
          <t>DMX equity bridge recomputes from EV and each claim/asset</t>
        </is>
      </c>
      <c r="E14" s="36" t="n">
        <v>0.01</v>
      </c>
      <c r="F14" s="128">
        <f>ABS(DMX_Valuation!K23-(DMX_Valuation!K12-DMX_Valuation!K15+DMX_Valuation!K16+DMX_Valuation!K17+DMX_Valuation!K18-DMX_Valuation!K19-DMX_Valuation!K20+DMX_Valuation!K21+DMX_Valuation!K22))</f>
        <v/>
      </c>
      <c r="G14" s="129">
        <f>IF(F14&lt;=E14,"PASS","FAIL")</f>
        <v/>
      </c>
      <c r="H14" s="31" t="inlineStr">
        <is>
          <t>No unexplained plug in the EV-to-equity bridge</t>
        </is>
      </c>
    </row>
    <row r="15" ht="34" customHeight="1">
      <c r="A15" s="53" t="inlineStr">
        <is>
          <t>CHK_DCF_NO_DOUBLE_COUNT_IPO</t>
        </is>
      </c>
      <c r="B15" s="28" t="inlineStr">
        <is>
          <t>DCF</t>
        </is>
      </c>
      <c r="C15" s="122" t="inlineStr">
        <is>
          <t>Critical</t>
        </is>
      </c>
      <c r="D15" s="28" t="inlineStr">
        <is>
          <t>Additional IPO proceeds in equity bridge must be zero</t>
        </is>
      </c>
      <c r="E15" s="39" t="n">
        <v>0</v>
      </c>
      <c r="F15" s="123">
        <f>ABS(DMX_Valuation!K22)</f>
        <v/>
      </c>
      <c r="G15" s="124">
        <f>IF(F15&lt;=E15,"PASS","FAIL")</f>
        <v/>
      </c>
      <c r="H15" s="28" t="inlineStr">
        <is>
          <t>Post-IPO policy prevents proceeds being added twice</t>
        </is>
      </c>
    </row>
    <row r="16" ht="34" customHeight="1">
      <c r="A16" s="55" t="inlineStr">
        <is>
          <t>CHK_DCF_TV_SHARE</t>
        </is>
      </c>
      <c r="B16" s="31" t="inlineStr">
        <is>
          <t>DCF</t>
        </is>
      </c>
      <c r="C16" s="131" t="inlineStr">
        <is>
          <t>Warning</t>
        </is>
      </c>
      <c r="D16" s="31" t="inlineStr">
        <is>
          <t>Terminal-value share of EV should be reviewed if above 85%</t>
        </is>
      </c>
      <c r="E16" s="36" t="n">
        <v>0.85</v>
      </c>
      <c r="F16" s="74">
        <f>DMX_Valuation!K13</f>
        <v/>
      </c>
      <c r="G16" s="129">
        <f>IF(F16&lt;=E16,"PASS","WARN — high terminal value")</f>
        <v/>
      </c>
      <c r="H16" s="31" t="inlineStr">
        <is>
          <t>Sensitivity is presented even when this check passes</t>
        </is>
      </c>
    </row>
    <row r="17" ht="34" customHeight="1">
      <c r="A17" s="53" t="inlineStr">
        <is>
          <t>CHK_SOTP_NO_DUPLICATE_BUCKET</t>
        </is>
      </c>
      <c r="B17" s="28" t="inlineStr">
        <is>
          <t>SOTP</t>
        </is>
      </c>
      <c r="C17" s="122" t="inlineStr">
        <is>
          <t>Critical</t>
        </is>
      </c>
      <c r="D17" s="28" t="inlineStr">
        <is>
          <t>Every double-count bucket is unique</t>
        </is>
      </c>
      <c r="E17" s="39" t="n">
        <v>0</v>
      </c>
      <c r="F17" s="123">
        <f>COUNTA(MWG_SOTP!K5:K10)-SUMPRODUCT(1/COUNTIF(MWG_SOTP!K5:K10,MWG_SOTP!K5:K10))</f>
        <v/>
      </c>
      <c r="G17" s="124">
        <f>IF(F17&lt;=E17,"PASS","FAIL")</f>
        <v/>
      </c>
      <c r="H17" s="28" t="inlineStr">
        <is>
          <t>EraBlue is inside the DMX DCF bucket only</t>
        </is>
      </c>
    </row>
    <row r="18" ht="34" customHeight="1">
      <c r="A18" s="55" t="inlineStr">
        <is>
          <t>CHK_SOTP_EQUITY_BRIDGE</t>
        </is>
      </c>
      <c r="B18" s="31" t="inlineStr">
        <is>
          <t>SOTP</t>
        </is>
      </c>
      <c r="C18" s="127" t="inlineStr">
        <is>
          <t>Critical</t>
        </is>
      </c>
      <c r="D18" s="31" t="inlineStr">
        <is>
          <t>Post-discount NAV = (GAV − parent debt − provisions) × (1 − discount)</t>
        </is>
      </c>
      <c r="E18" s="36" t="n">
        <v>0.01</v>
      </c>
      <c r="F18" s="128">
        <f>ABS(MWG_SOTP!C19-(MWG_SOTP!C14-MWG_SOTP!C15-MWG_SOTP!C16)*(1-MWG_SOTP!C18))</f>
        <v/>
      </c>
      <c r="G18" s="129">
        <f>IF(F18&lt;=E18,"PASS","FAIL")</f>
        <v/>
      </c>
      <c r="H18" s="31" t="inlineStr">
        <is>
          <t>Equity-level SOTP bridge</t>
        </is>
      </c>
    </row>
    <row r="19" ht="34" customHeight="1">
      <c r="A19" s="53" t="inlineStr">
        <is>
          <t>CHK_PERIMETER_ERABLUE</t>
        </is>
      </c>
      <c r="B19" s="28" t="inlineStr">
        <is>
          <t>SOTP</t>
        </is>
      </c>
      <c r="C19" s="122" t="inlineStr">
        <is>
          <t>Critical</t>
        </is>
      </c>
      <c r="D19" s="28" t="inlineStr">
        <is>
          <t>EraBlue must not appear as a separate MWG SOTP asset row</t>
        </is>
      </c>
      <c r="E19" s="39" t="n">
        <v>0</v>
      </c>
      <c r="F19" s="123">
        <f>COUNTIF(MWG_SOTP!A5:A10,"*EraBlue*")</f>
        <v/>
      </c>
      <c r="G19" s="124">
        <f>IF(F19&lt;=E19,"PASS","FAIL")</f>
        <v/>
      </c>
      <c r="H19" s="28" t="inlineStr">
        <is>
          <t>EraBlue value is included once inside DMX</t>
        </is>
      </c>
    </row>
    <row r="20" ht="34" customHeight="1">
      <c r="A20" s="55" t="inlineStr">
        <is>
          <t>CHK_OWNERSHIP_EXACT</t>
        </is>
      </c>
      <c r="B20" s="31" t="inlineStr">
        <is>
          <t>Ownership</t>
        </is>
      </c>
      <c r="C20" s="131" t="inlineStr">
        <is>
          <t>Warning</t>
        </is>
      </c>
      <c r="D20" s="31" t="inlineStr">
        <is>
          <t>Exact post-IPO MWG ownership is required for production use</t>
        </is>
      </c>
      <c r="E20" s="36" t="n">
        <v>0</v>
      </c>
      <c r="F20" s="128">
        <f>IF(Assumptions!C8="N/A",1,0)</f>
        <v/>
      </c>
      <c r="G20" s="129">
        <f>IF(F20=0,"PASS","WARN — rounded proxy only")</f>
        <v/>
      </c>
      <c r="H20" s="31" t="inlineStr">
        <is>
          <t>Do not infer exact shares from 'nearly 86%'</t>
        </is>
      </c>
    </row>
    <row r="21" ht="34" customHeight="1">
      <c r="A21" s="53" t="inlineStr">
        <is>
          <t>CHK_MARKET_PRICE_DATE</t>
        </is>
      </c>
      <c r="B21" s="28" t="inlineStr">
        <is>
          <t>Market data</t>
        </is>
      </c>
      <c r="C21" s="132" t="inlineStr">
        <is>
          <t>Warning</t>
        </is>
      </c>
      <c r="D21" s="28" t="inlineStr">
        <is>
          <t>Valuation date and same-date market price are both required</t>
        </is>
      </c>
      <c r="E21" s="39" t="n">
        <v>0</v>
      </c>
      <c r="F21" s="123">
        <f>IF(OR(Assumptions!C5="N/A",Assumptions!C6="N/A"),1,0)</f>
        <v/>
      </c>
      <c r="G21" s="124">
        <f>IF(F21=0,"PASS","WARN — market data absent")</f>
        <v/>
      </c>
      <c r="H21" s="28" t="inlineStr">
        <is>
          <t>Expected warning; market conclusion remains blocked</t>
        </is>
      </c>
    </row>
    <row r="22" ht="34" customHeight="1">
      <c r="A22" s="55" t="inlineStr">
        <is>
          <t>CHK_MARKET_CONCLUSION_GUARD</t>
        </is>
      </c>
      <c r="B22" s="31" t="inlineStr">
        <is>
          <t>Publication</t>
        </is>
      </c>
      <c r="C22" s="127" t="inlineStr">
        <is>
          <t>Critical</t>
        </is>
      </c>
      <c r="D22" s="31" t="inlineStr">
        <is>
          <t>Market conclusion must remain unavailable while price/date are absent</t>
        </is>
      </c>
      <c r="E22" s="36" t="n">
        <v>0</v>
      </c>
      <c r="F22" s="128">
        <f>IF(AND(DMX_Valuation!K29="UNAVAILABLE — model output only",MWG_SOTP!C24="UNAVAILABLE"),0,1)</f>
        <v/>
      </c>
      <c r="G22" s="129">
        <f>IF(F22=0,"PASS","FAIL")</f>
        <v/>
      </c>
      <c r="H22" s="31" t="inlineStr">
        <is>
          <t>Prevents unsupported upside/downside language</t>
        </is>
      </c>
    </row>
    <row r="23" ht="34" customHeight="1">
      <c r="A23" s="53" t="inlineStr">
        <is>
          <t>CHK_ACTUAL_SOURCE_COMPLETE</t>
        </is>
      </c>
      <c r="B23" s="28" t="inlineStr">
        <is>
          <t>Sources</t>
        </is>
      </c>
      <c r="C23" s="122" t="inlineStr">
        <is>
          <t>Critical</t>
        </is>
      </c>
      <c r="D23" s="28" t="inlineStr">
        <is>
          <t>Every row labelled Actual has a source ID</t>
        </is>
      </c>
      <c r="E23" s="39" t="n">
        <v>0</v>
      </c>
      <c r="F23" s="123">
        <f>COUNTIFS(Q1_Actuals!I:I,"Actual",Q1_Actuals!G:G,"")</f>
        <v/>
      </c>
      <c r="G23" s="124">
        <f>IF(F23=0,"PASS","FAIL")</f>
        <v/>
      </c>
      <c r="H23" s="28" t="inlineStr">
        <is>
          <t>Source locator is also displayed beside each actual</t>
        </is>
      </c>
    </row>
    <row r="24" ht="34" customHeight="1">
      <c r="A24" s="55" t="inlineStr">
        <is>
          <t>CHK_SCENARIO_LINKS</t>
        </is>
      </c>
      <c r="B24" s="31" t="inlineStr">
        <is>
          <t>Scenarios</t>
        </is>
      </c>
      <c r="C24" s="127" t="inlineStr">
        <is>
          <t>Critical</t>
        </is>
      </c>
      <c r="D24" s="31" t="inlineStr">
        <is>
          <t>Active scenario must be Bear, Base or Bull</t>
        </is>
      </c>
      <c r="E24" s="36" t="n">
        <v>0</v>
      </c>
      <c r="F24" s="128">
        <f>IF(OR(Assumptions!C4="Bear",Assumptions!C4="Base",Assumptions!C4="Bull"),0,1)</f>
        <v/>
      </c>
      <c r="G24" s="129">
        <f>IF(F24=0,"PASS","FAIL")</f>
        <v/>
      </c>
      <c r="H24" s="31" t="inlineStr">
        <is>
          <t>Scenario selector controls active assumption formulas</t>
        </is>
      </c>
    </row>
  </sheetData>
  <autoFilter ref="A4:H24"/>
  <mergeCells count="2">
    <mergeCell ref="A1:J1"/>
    <mergeCell ref="A2:J2"/>
  </mergeCells>
  <conditionalFormatting sqref="G5:G24">
    <cfRule type="expression" priority="1" dxfId="0">
      <formula>LEFT(G5,4)="PASS"</formula>
    </cfRule>
    <cfRule type="expression" priority="2" dxfId="1">
      <formula>LEFT(G5,4)="FAIL"</formula>
    </cfRule>
    <cfRule type="expression" priority="3" dxfId="2">
      <formula>LEFT(G5,4)="WARN"</formula>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Independent analyst work sample</dc:creator>
  <dc:title xmlns:dc="http://purl.org/dc/elements/1.1/">MWG After the DMX IPO — DCF and SOTP Model</dc:title>
  <dc:description xmlns:dc="http://purl.org/dc/elements/1.1/">Official facts, company outlook and illustrative assumptions are separated. No investment recommendation or market conclusion.</dc:description>
  <dc:subject xmlns:dc="http://purl.org/dc/elements/1.1/">Portfolio financial model: IPO bridge, DMX DCF and MWG SOTP</dc:subject>
  <dcterms:created xmlns:dcterms="http://purl.org/dc/terms/" xmlns:xsi="http://www.w3.org/2001/XMLSchema-instance" xsi:type="dcterms:W3CDTF">2026-07-13T12:22:18Z</dcterms:created>
  <dcterms:modified xmlns:dcterms="http://purl.org/dc/terms/" xmlns:xsi="http://www.w3.org/2001/XMLSchema-instance" xsi:type="dcterms:W3CDTF">2026-07-13T12:22:18Z</dcterms:modified>
  <cp:keywords>MWG, DMX, IPO, DCF, SOTP, Vietnam, financial model</cp:keywords>
</cp:coreProperties>
</file>